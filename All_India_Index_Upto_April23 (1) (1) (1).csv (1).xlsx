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hya Sati\Downloads\"/>
    </mc:Choice>
  </mc:AlternateContent>
  <xr:revisionPtr revIDLastSave="0" documentId="13_ncr:1_{4A7DF18E-D534-47A3-BD44-6BB0EFDFF34B}" xr6:coauthVersionLast="47" xr6:coauthVersionMax="47" xr10:uidLastSave="{00000000-0000-0000-0000-000000000000}"/>
  <bookViews>
    <workbookView xWindow="-108" yWindow="-108" windowWidth="23256" windowHeight="12456" firstSheet="3" activeTab="5" xr2:uid="{D3C3D1BE-0BA7-44D3-933A-2FCF9AC9EB5E}"/>
  </bookViews>
  <sheets>
    <sheet name="Title and Objective " sheetId="25" r:id="rId1"/>
    <sheet name="CPI calculation" sheetId="14" r:id="rId2"/>
    <sheet name="Years of highest inflation " sheetId="18" r:id="rId3"/>
    <sheet name="Food Inflation" sheetId="1" r:id="rId4"/>
    <sheet name="Pandemic affect" sheetId="10" r:id="rId5"/>
    <sheet name="Oil Inflation Anallysis" sheetId="28" r:id="rId6"/>
  </sheets>
  <definedNames>
    <definedName name="_xlnm._FilterDatabase" localSheetId="0" hidden="1">'Title and Objective '!$A$4:$AD$376</definedName>
    <definedName name="ExternalData_1" localSheetId="1" hidden="1">'CPI calculation'!$A$1:$E$9</definedName>
  </definedNames>
  <calcPr calcId="191029"/>
  <pivotCaches>
    <pivotCache cacheId="0" r:id="rId7"/>
    <pivotCache cacheId="1" r:id="rId8"/>
    <pivotCache cacheId="3" r:id="rId9"/>
    <pivotCache cacheId="9" r:id="rId10"/>
    <pivotCache cacheId="18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8" l="1"/>
  <c r="B33" i="28"/>
  <c r="B34" i="28"/>
  <c r="E7" i="18" l="1"/>
  <c r="E9" i="18"/>
  <c r="E11" i="18"/>
  <c r="E13" i="18"/>
  <c r="E15" i="18"/>
  <c r="E5" i="18"/>
  <c r="E3" i="18"/>
  <c r="F9" i="14"/>
  <c r="AE376" i="1" l="1"/>
  <c r="AF376" i="1"/>
  <c r="AG376" i="1"/>
  <c r="AH376" i="1"/>
  <c r="AI376" i="1"/>
  <c r="AK36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E375" i="1"/>
  <c r="AF375" i="1"/>
  <c r="AG375" i="1"/>
  <c r="AH375" i="1"/>
  <c r="AI375" i="1"/>
  <c r="F2" i="14"/>
  <c r="F3" i="14"/>
  <c r="F4" i="14"/>
  <c r="F5" i="14"/>
  <c r="F6" i="14"/>
  <c r="F7" i="14"/>
  <c r="F8" i="14"/>
  <c r="I5" i="10"/>
  <c r="I7" i="10"/>
  <c r="I3" i="10"/>
  <c r="H5" i="10"/>
  <c r="H7" i="10"/>
  <c r="H3" i="10"/>
  <c r="G5" i="10"/>
  <c r="G7" i="10"/>
  <c r="G3" i="10"/>
  <c r="AE373" i="1" l="1"/>
  <c r="AF373" i="1"/>
  <c r="AG373" i="1"/>
  <c r="AH373" i="1"/>
  <c r="AI373" i="1"/>
  <c r="AJ374" i="1"/>
  <c r="AJ372" i="1"/>
  <c r="AJ371" i="1"/>
  <c r="AJ369" i="1"/>
  <c r="AJ368" i="1"/>
  <c r="AJ367" i="1"/>
  <c r="AJ366" i="1"/>
  <c r="AJ365" i="1"/>
  <c r="AJ364" i="1"/>
  <c r="AJ363" i="1"/>
  <c r="AJ362" i="1"/>
  <c r="AJ361" i="1"/>
  <c r="AJ360" i="1"/>
  <c r="AJ359" i="1"/>
  <c r="AJ2" i="1"/>
  <c r="AE152" i="1"/>
  <c r="AF152" i="1"/>
  <c r="AG152" i="1"/>
  <c r="AH152" i="1"/>
  <c r="AI152" i="1"/>
  <c r="AE258" i="1"/>
  <c r="AF258" i="1"/>
  <c r="AG258" i="1"/>
  <c r="AH258" i="1"/>
  <c r="AI258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4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4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4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4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4" i="1"/>
  <c r="AJ37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4A51C4-D2E9-497E-8357-F7F441E1A40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1A22462-32F5-4144-B586-8D43F48B6213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151EC65A-DD84-4E6B-A054-FAC310D7FDB8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4" xr16:uid="{9AB9A44E-2E73-411E-A1A2-CA7193DBFDDF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5" xr16:uid="{FFFE36E8-0613-46FE-A067-F31297CFA577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6" xr16:uid="{B711BC14-BB87-42C8-839C-22323E12F42D}" keepAlive="1" name="Query - Table3 (2)" description="Connection to the 'Table3 (2)' query in the workbook." type="5" refreshedVersion="0" background="1">
    <dbPr connection="Provider=Microsoft.Mashup.OleDb.1;Data Source=$Workbook$;Location=&quot;Table3 (2)&quot;;Extended Properties=&quot;&quot;" command="SELECT * FROM [Table3 (2)]"/>
  </connection>
  <connection id="7" xr16:uid="{773C028E-C9CF-45E3-9FBB-78EF40007AB7}" keepAlive="1" name="Query - Table3 (3)" description="Connection to the 'Table3 (3)' query in the workbook." type="5" refreshedVersion="0" background="1">
    <dbPr connection="Provider=Microsoft.Mashup.OleDb.1;Data Source=$Workbook$;Location=&quot;Table3 (3)&quot;;Extended Properties=&quot;&quot;" command="SELECT * FROM [Table3 (3)]"/>
  </connection>
  <connection id="8" xr16:uid="{BCAD096B-5066-46FA-8597-B358DDCDD354}" keepAlive="1" name="Query - Table3 (4)" description="Connection to the 'Table3 (4)' query in the workbook." type="5" refreshedVersion="8" background="1" saveData="1">
    <dbPr connection="Provider=Microsoft.Mashup.OleDb.1;Data Source=$Workbook$;Location=&quot;Table3 (4)&quot;;Extended Properties=&quot;&quot;" command="SELECT * FROM [Table3 (4)]"/>
  </connection>
  <connection id="9" xr16:uid="{69289FA3-8AFD-4EF3-8BFD-91BE99EF3200}" keepAlive="1" name="Query - Table3 (5)" description="Connection to the 'Table3 (5)' query in the workbook." type="5" refreshedVersion="8" background="1" saveData="1">
    <dbPr connection="Provider=Microsoft.Mashup.OleDb.1;Data Source=$Workbook$;Location=&quot;Table3 (5)&quot;;Extended Properties=&quot;&quot;" command="SELECT * FROM [Table3 (5)]"/>
  </connection>
  <connection id="10" xr16:uid="{A5869953-7544-48D4-A3FC-E6DADBA232BE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11" xr16:uid="{063DFE27-933A-4028-8D46-E2EE311CCFFA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<sst xmlns="http://schemas.openxmlformats.org/spreadsheetml/2006/main" count="2231" uniqueCount="121">
  <si>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</si>
  <si>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</si>
  <si>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</si>
  <si>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</si>
  <si>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</si>
  <si>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</si>
  <si>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</si>
  <si>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</si>
  <si>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</si>
  <si>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</si>
  <si>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</si>
  <si>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</si>
  <si>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</si>
  <si>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</si>
  <si>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</si>
  <si>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</si>
  <si>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</si>
  <si>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</si>
  <si>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</si>
  <si>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</si>
  <si>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</si>
  <si>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</si>
  <si>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</si>
  <si>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</si>
  <si>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</si>
  <si>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</si>
  <si>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</si>
  <si>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</si>
  <si>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</si>
  <si>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</si>
  <si>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</si>
  <si>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</si>
  <si>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</si>
  <si>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</si>
  <si>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</si>
  <si>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</si>
  <si>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</si>
  <si>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</si>
  <si>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</si>
  <si>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</si>
  <si>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</si>
  <si>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</si>
  <si>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</si>
  <si>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</si>
  <si>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</si>
  <si>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</si>
  <si>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</si>
  <si>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</si>
  <si>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</si>
  <si>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Value</t>
  </si>
  <si>
    <t>Row Labels</t>
  </si>
  <si>
    <t>Grand Total</t>
  </si>
  <si>
    <t>Column Labels</t>
  </si>
  <si>
    <t>Food And Beverages2</t>
  </si>
  <si>
    <t>Dairy</t>
  </si>
  <si>
    <t>Health2</t>
  </si>
  <si>
    <t xml:space="preserve">Education </t>
  </si>
  <si>
    <t xml:space="preserve">Others </t>
  </si>
  <si>
    <t xml:space="preserve">Grand Total </t>
  </si>
  <si>
    <t xml:space="preserve">CPI Infllation </t>
  </si>
  <si>
    <t xml:space="preserve">Average of CPI Infllation </t>
  </si>
  <si>
    <t>Food Category</t>
  </si>
  <si>
    <t xml:space="preserve">Health </t>
  </si>
  <si>
    <t xml:space="preserve">Food </t>
  </si>
  <si>
    <t xml:space="preserve">Essential services </t>
  </si>
  <si>
    <t>Health %</t>
  </si>
  <si>
    <t>Food%</t>
  </si>
  <si>
    <t>Essential Services%</t>
  </si>
  <si>
    <t>Years</t>
  </si>
  <si>
    <t>Average of Health %</t>
  </si>
  <si>
    <t>Average of Food%</t>
  </si>
  <si>
    <t>Average of Essential Services%</t>
  </si>
  <si>
    <t xml:space="preserve">Food And Beverages </t>
  </si>
  <si>
    <t xml:space="preserve">Dairy </t>
  </si>
  <si>
    <t>Transport</t>
  </si>
  <si>
    <t>Attribute</t>
  </si>
  <si>
    <t>Value%</t>
  </si>
  <si>
    <t>Average of Value%</t>
  </si>
  <si>
    <t xml:space="preserve">CPI inflation year </t>
  </si>
  <si>
    <t xml:space="preserve">Grand total </t>
  </si>
  <si>
    <t xml:space="preserve"> </t>
  </si>
  <si>
    <t>%change in food category</t>
  </si>
  <si>
    <t>Average of %change in food category</t>
  </si>
  <si>
    <r>
      <rPr>
        <b/>
        <u/>
        <sz val="14"/>
        <color theme="9" tint="-0.499984740745262"/>
        <rFont val="Aptos Narrow"/>
        <family val="2"/>
        <scheme val="minor"/>
      </rPr>
      <t>Objective</t>
    </r>
    <r>
      <rPr>
        <b/>
        <sz val="14"/>
        <color theme="9" tint="-0.499984740745262"/>
        <rFont val="Aptos Narrow"/>
        <family val="2"/>
        <scheme val="minor"/>
      </rPr>
      <t xml:space="preserve">: </t>
    </r>
    <r>
      <rPr>
        <b/>
        <i/>
        <sz val="14"/>
        <color theme="9" tint="-0.499984740745262"/>
        <rFont val="Aptos Narrow"/>
        <family val="2"/>
        <scheme val="minor"/>
      </rPr>
      <t>“To analyze inflation trends across major consumption categories in India and identify high-impact sectors.”</t>
    </r>
  </si>
  <si>
    <r>
      <rPr>
        <b/>
        <sz val="14"/>
        <color theme="3" tint="9.9978637043366805E-2"/>
        <rFont val="Aptos Narrow"/>
        <family val="2"/>
        <scheme val="minor"/>
      </rPr>
      <t>Title</t>
    </r>
    <r>
      <rPr>
        <b/>
        <u/>
        <sz val="14"/>
        <color theme="3" tint="9.9978637043366805E-2"/>
        <rFont val="Aptos Narrow"/>
        <family val="2"/>
        <scheme val="minor"/>
      </rPr>
      <t>: Sector-wise and Category-wise Inflation Trends</t>
    </r>
  </si>
  <si>
    <t>The ‘Food &amp; Beverages’ category contributes  43.75% of the total CPI weight, making it the biggest driver of inflation because it represents a major share of household spending in India, especially in rural areas.</t>
  </si>
  <si>
    <t>According to CPI trends, 2022 recorded the highest inflation in India. The main reason was a mix of global and domestic factors.</t>
  </si>
  <si>
    <t>Russia–Ukraine War (Feb 2022 onward)</t>
  </si>
  <si>
    <t>Post-pandemic reopening caused strong demand.</t>
  </si>
  <si>
    <t>Annual: ((End of Year CPI - Start of Year CPI) / Start of Year CPI) × 100</t>
  </si>
  <si>
    <t xml:space="preserve">In this data food category has the highest inflation in 2021 which means covid has majorly affected the inflation in food category. </t>
  </si>
  <si>
    <t xml:space="preserve">Used formula Monthly: ((Current CPI - Previous CPI) / Previous CPI) × 100 to calculate the month-month change in inflation before covid and after covid. </t>
  </si>
  <si>
    <t xml:space="preserve">Monthly: ((Current CPI - Previous CPI) / Previous CPI) </t>
  </si>
  <si>
    <t>Crude_Oil_Price</t>
  </si>
  <si>
    <t>Fuel_Inflation</t>
  </si>
  <si>
    <t>Transport_Inflation</t>
  </si>
  <si>
    <t>Food_Inflation</t>
  </si>
  <si>
    <t>Oil_%Change</t>
  </si>
  <si>
    <t>Fuel_%Change</t>
  </si>
  <si>
    <t>Transport_%Change</t>
  </si>
  <si>
    <t>Food_%Change</t>
  </si>
  <si>
    <t>Column1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</si>
  <si>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</si>
  <si>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</si>
  <si>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</si>
  <si>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</si>
  <si>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</si>
  <si>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</si>
  <si>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</si>
  <si>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</si>
  <si>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</si>
  <si>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</si>
  <si>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</si>
  <si>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Correlation Summary</t>
  </si>
  <si>
    <t>Average of Crude_Oil_Price</t>
  </si>
  <si>
    <t>Average of Fuel_Inflation</t>
  </si>
  <si>
    <t>Average of Transport_Inflation</t>
  </si>
  <si>
    <t>Average of Food_Inflation</t>
  </si>
  <si>
    <t>Fuel and Transport Inflation show strong positive correlation (&gt;0.85) with crude oil price changes, indicating oil price fluctuations significantly drive India’s inflation trends across these sectors.</t>
  </si>
  <si>
    <t>Column2</t>
  </si>
  <si>
    <t>Monthly: ((Current CPI - Previous CPI) / Previous CPI)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</si>
</sst>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1"/>
      <color rgb="FFC0000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color theme="3" tint="9.9978637043366805E-2"/>
      <name val="Aptos Narrow"/>
      <family val="2"/>
      <scheme val="minor"/>
    </font>
    <font>
      <b/>
      <u/>
      <sz val="11"/>
      <color theme="3" tint="9.9978637043366805E-2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b/>
      <i/>
      <sz val="14"/>
      <color theme="9" tint="-0.499984740745262"/>
      <name val="Aptos Narrow"/>
      <family val="2"/>
      <scheme val="minor"/>
    </font>
    <font>
      <b/>
      <u/>
      <sz val="14"/>
      <color theme="9" tint="-0.499984740745262"/>
      <name val="Aptos Narrow"/>
      <family val="2"/>
      <scheme val="minor"/>
    </font>
    <font>
      <b/>
      <sz val="14"/>
      <color theme="3" tint="9.9978637043366805E-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3" fillId="34" borderId="10" xfId="0" applyFont="1" applyFill="1" applyBorder="1"/>
    <xf numFmtId="0" fontId="13" fillId="34" borderId="11" xfId="0" applyFont="1" applyFill="1" applyBorder="1"/>
    <xf numFmtId="0" fontId="0" fillId="33" borderId="10" xfId="0" applyFill="1" applyBorder="1"/>
    <xf numFmtId="0" fontId="0" fillId="0" borderId="10" xfId="0" applyBorder="1"/>
    <xf numFmtId="0" fontId="13" fillId="34" borderId="12" xfId="0" applyFont="1" applyFill="1" applyBorder="1"/>
    <xf numFmtId="0" fontId="0" fillId="33" borderId="12" xfId="0" applyFill="1" applyBorder="1"/>
    <xf numFmtId="0" fontId="0" fillId="0" borderId="12" xfId="0" applyBorder="1"/>
    <xf numFmtId="0" fontId="0" fillId="33" borderId="11" xfId="0" applyFill="1" applyBorder="1"/>
    <xf numFmtId="0" fontId="0" fillId="0" borderId="11" xfId="0" applyBorder="1"/>
    <xf numFmtId="2" fontId="0" fillId="0" borderId="0" xfId="0" applyNumberFormat="1"/>
    <xf numFmtId="0" fontId="13" fillId="34" borderId="0" xfId="0" applyFont="1" applyFill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left" vertical="center" wrapText="1"/>
    </xf>
    <xf numFmtId="10" fontId="0" fillId="0" borderId="0" xfId="44" applyNumberFormat="1" applyFont="1"/>
    <xf numFmtId="10" fontId="0" fillId="0" borderId="0" xfId="0" applyNumberForma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left" vertical="center" indent="1"/>
    </xf>
    <xf numFmtId="0" fontId="30" fillId="0" borderId="0" xfId="0" applyFont="1"/>
    <xf numFmtId="2" fontId="0" fillId="0" borderId="10" xfId="0" applyNumberFormat="1" applyBorder="1"/>
    <xf numFmtId="0" fontId="0" fillId="0" borderId="0" xfId="0" applyAlignment="1">
      <alignment horizontal="left" vertical="center" wrapText="1"/>
    </xf>
    <xf numFmtId="0" fontId="0" fillId="0" borderId="0" xfId="0" applyNumberForma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 3 5" xfId="42" xr:uid="{5899010C-0BAC-44DD-8DBA-B43D09AC7946}"/>
    <cellStyle name="Normal 259" xfId="43" xr:uid="{4FDA2B3B-9BEC-4809-A31D-576094BE5D13}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 (1) (1).csv.xlsx]CPI calculation!PivotTable1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'CPI calculation'!$B$18:$B$19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calculation'!$B$20:$B$21</c:f>
              <c:numCache>
                <c:formatCode>0.00%</c:formatCode>
                <c:ptCount val="1"/>
                <c:pt idx="0">
                  <c:v>4.1688122691145191E-2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6-4327-BBFA-138E47C0ACEE}"/>
            </c:ext>
          </c:extLst>
        </c:ser>
        <c:ser>
          <c:idx val="1"/>
          <c:order val="1"/>
          <c:tx>
            <c:strRef>
              <c:f>'CPI calculation'!$C$18:$C$19</c:f>
              <c:strCache>
                <c:ptCount val="1"/>
                <c:pt idx="0">
                  <c:v>Dairy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calculation'!$C$20:$C$21</c:f>
              <c:numCache>
                <c:formatCode>0.00%</c:formatCode>
                <c:ptCount val="1"/>
                <c:pt idx="0">
                  <c:v>7.8965633046009176E-2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6-4327-BBFA-138E47C0ACEE}"/>
            </c:ext>
          </c:extLst>
        </c:ser>
        <c:ser>
          <c:idx val="2"/>
          <c:order val="2"/>
          <c:tx>
            <c:strRef>
              <c:f>'CPI calculation'!$D$18:$D$19</c:f>
              <c:strCache>
                <c:ptCount val="1"/>
                <c:pt idx="0">
                  <c:v>Education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calculation'!$D$20:$D$21</c:f>
              <c:numCache>
                <c:formatCode>0.00%</c:formatCode>
                <c:ptCount val="1"/>
                <c:pt idx="0">
                  <c:v>7.7980521661256005E-2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46-4327-BBFA-138E47C0ACEE}"/>
            </c:ext>
          </c:extLst>
        </c:ser>
        <c:ser>
          <c:idx val="3"/>
          <c:order val="3"/>
          <c:tx>
            <c:strRef>
              <c:f>'CPI calculation'!$E$18:$E$19</c:f>
              <c:strCache>
                <c:ptCount val="1"/>
                <c:pt idx="0">
                  <c:v>Food And Beverages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calculation'!$E$20:$E$21</c:f>
              <c:numCache>
                <c:formatCode>0.00%</c:formatCode>
                <c:ptCount val="1"/>
                <c:pt idx="0">
                  <c:v>0.43752378820105231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46-4327-BBFA-138E47C0ACEE}"/>
            </c:ext>
          </c:extLst>
        </c:ser>
        <c:ser>
          <c:idx val="4"/>
          <c:order val="4"/>
          <c:tx>
            <c:strRef>
              <c:f>'CPI calculation'!$F$18:$F$19</c:f>
              <c:strCache>
                <c:ptCount val="1"/>
                <c:pt idx="0">
                  <c:v>Health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calculation'!$F$20:$F$21</c:f>
              <c:numCache>
                <c:formatCode>0.00%</c:formatCode>
                <c:ptCount val="1"/>
                <c:pt idx="0">
                  <c:v>8.3040411955669982E-2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46-4327-BBFA-138E47C0ACEE}"/>
            </c:ext>
          </c:extLst>
        </c:ser>
        <c:ser>
          <c:idx val="5"/>
          <c:order val="5"/>
          <c:tx>
            <c:strRef>
              <c:f>'CPI calculation'!$G$18:$G$19</c:f>
              <c:strCache>
                <c:ptCount val="1"/>
                <c:pt idx="0">
                  <c:v>Others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calculation'!$G$20:$G$21</c:f>
              <c:numCache>
                <c:formatCode>0.00%</c:formatCode>
                <c:ptCount val="1"/>
                <c:pt idx="0">
                  <c:v>0.20297772304936751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46-4327-BBFA-138E47C0ACEE}"/>
            </c:ext>
          </c:extLst>
        </c:ser>
        <c:ser>
          <c:idx val="6"/>
          <c:order val="6"/>
          <c:tx>
            <c:strRef>
              <c:f>'CPI calculation'!$H$18:$H$19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calculation'!$H$20:$H$21</c:f>
              <c:numCache>
                <c:formatCode>0.00%</c:formatCode>
                <c:ptCount val="1"/>
                <c:pt idx="0">
                  <c:v>7.782379939549984E-2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46-4327-BBFA-138E47C0ACE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6475679"/>
        <c:axId val="166472799"/>
      </c:barChart>
      <c:catAx>
        <c:axId val="16647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72799"/>
        <c:crosses val="autoZero"/>
        <c:auto val="1"/>
        <c:lblAlgn val="ctr"/>
        <c:lblOffset val="100"/>
        <c:noMultiLvlLbl val="0"/>
      </c:catAx>
      <c:valAx>
        <c:axId val="1664727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647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 (1) (1).csv.xlsx]Years of highest inflation !PivotTable2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'Years of highest inflation '!$E$19:$E$20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'!$E$21:$E$22</c:f>
              <c:numCache>
                <c:formatCode>0.00</c:formatCode>
                <c:ptCount val="1"/>
                <c:pt idx="0">
                  <c:v>2.8279654359780113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A-4A1A-8EC2-92B476063399}"/>
            </c:ext>
          </c:extLst>
        </c:ser>
        <c:ser>
          <c:idx val="1"/>
          <c:order val="1"/>
          <c:tx>
            <c:strRef>
              <c:f>'Years of highest inflation '!$F$19:$F$20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'!$F$21:$F$22</c:f>
              <c:numCache>
                <c:formatCode>0.00</c:formatCode>
                <c:ptCount val="1"/>
                <c:pt idx="0">
                  <c:v>4.1189931350114461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A-4A1A-8EC2-92B476063399}"/>
            </c:ext>
          </c:extLst>
        </c:ser>
        <c:ser>
          <c:idx val="2"/>
          <c:order val="2"/>
          <c:tx>
            <c:strRef>
              <c:f>'Years of highest inflation '!$G$19:$G$20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'!$G$21:$G$22</c:f>
              <c:numCache>
                <c:formatCode>0.00</c:formatCode>
                <c:ptCount val="1"/>
                <c:pt idx="0">
                  <c:v>2.4070021881838159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6A-4A1A-8EC2-92B476063399}"/>
            </c:ext>
          </c:extLst>
        </c:ser>
        <c:ser>
          <c:idx val="3"/>
          <c:order val="3"/>
          <c:tx>
            <c:strRef>
              <c:f>'Years of highest inflation '!$H$19:$H$20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'!$H$21:$H$22</c:f>
              <c:numCache>
                <c:formatCode>0.00</c:formatCode>
                <c:ptCount val="1"/>
                <c:pt idx="0">
                  <c:v>3.1228313671061763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6A-4A1A-8EC2-92B476063399}"/>
            </c:ext>
          </c:extLst>
        </c:ser>
        <c:ser>
          <c:idx val="4"/>
          <c:order val="4"/>
          <c:tx>
            <c:strRef>
              <c:f>'Years of highest inflation '!$I$19:$I$20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'!$I$21:$I$22</c:f>
              <c:numCache>
                <c:formatCode>0.00</c:formatCode>
                <c:ptCount val="1"/>
                <c:pt idx="0">
                  <c:v>5.6603773584905692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6A-4A1A-8EC2-92B476063399}"/>
            </c:ext>
          </c:extLst>
        </c:ser>
        <c:ser>
          <c:idx val="5"/>
          <c:order val="5"/>
          <c:tx>
            <c:strRef>
              <c:f>'Years of highest inflation '!$J$19:$J$20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'!$J$21:$J$22</c:f>
              <c:numCache>
                <c:formatCode>0.00</c:formatCode>
                <c:ptCount val="1"/>
                <c:pt idx="0">
                  <c:v>6.2737642585551185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6A-4A1A-8EC2-92B476063399}"/>
            </c:ext>
          </c:extLst>
        </c:ser>
        <c:ser>
          <c:idx val="6"/>
          <c:order val="6"/>
          <c:tx>
            <c:strRef>
              <c:f>'Years of highest inflation '!$K$19:$K$20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'!$K$21:$K$22</c:f>
              <c:numCache>
                <c:formatCode>0.00</c:formatCode>
                <c:ptCount val="1"/>
                <c:pt idx="0">
                  <c:v>4.1740152851263934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A-4A1A-8EC2-92B4760633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6447359"/>
        <c:axId val="166457919"/>
      </c:barChart>
      <c:catAx>
        <c:axId val="16644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7919"/>
        <c:crosses val="autoZero"/>
        <c:auto val="1"/>
        <c:lblAlgn val="ctr"/>
        <c:lblOffset val="100"/>
        <c:noMultiLvlLbl val="0"/>
      </c:catAx>
      <c:valAx>
        <c:axId val="16645791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644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[All_India_Index_Upto_April23 (1) (1) (1).csv.xlsx]Food Inflation!PivotTable5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Inflation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5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5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'Food Inflation'!$AM$373:$AM$374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C83-46FE-B9DA-6F00CC9192C2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83-46FE-B9DA-6F00CC9192C2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C83-46FE-B9DA-6F00CC9192C2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83-46FE-B9DA-6F00CC9192C2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C83-46FE-B9DA-6F00CC9192C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C83-46FE-B9DA-6F00CC9192C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C83-46FE-B9DA-6F00CC9192C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C83-46FE-B9DA-6F00CC9192C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C83-46FE-B9DA-6F00CC9192C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C83-46FE-B9DA-6F00CC9192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'Food Inflation'!$AL$375:$AL$380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'Food Inflation'!$AM$375:$AM$380</c:f>
              <c:numCache>
                <c:formatCode>0.00%</c:formatCode>
                <c:ptCount val="5"/>
                <c:pt idx="0">
                  <c:v>7.6208529570785541E-2</c:v>
                </c:pt>
                <c:pt idx="1">
                  <c:v>7.6280184740054588E-2</c:v>
                </c:pt>
                <c:pt idx="2">
                  <c:v>7.6410466865998339E-2</c:v>
                </c:pt>
                <c:pt idx="3">
                  <c:v>7.6820855562721085E-2</c:v>
                </c:pt>
                <c:pt idx="4">
                  <c:v>7.8397269286640231E-2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073-B8F7-F8C2990B6B2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Pandemic</a:t>
            </a:r>
            <a:r>
              <a:rPr lang="en-IN" baseline="0"/>
              <a:t> Affect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Average of Health 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"/>
              <c:pt idx="0">
                <c:v>2019</c:v>
              </c:pt>
              <c:pt idx="1">
                <c:v>2020</c:v>
              </c:pt>
              <c:pt idx="2">
                <c:v>2021</c:v>
              </c:pt>
            </c:strLit>
          </c:cat>
          <c:val>
            <c:numLit>
              <c:formatCode>General</c:formatCode>
              <c:ptCount val="3"/>
              <c:pt idx="0">
                <c:v>4.6419575386829921</c:v>
              </c:pt>
              <c:pt idx="1">
                <c:v>7.4616695059625133</c:v>
              </c:pt>
              <c:pt idx="2">
                <c:v>5.4096804808604757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8FC-46F7-B0B9-C3CF1CE0ACE4}"/>
            </c:ext>
          </c:extLst>
        </c:ser>
        <c:ser>
          <c:idx val="1"/>
          <c:order val="1"/>
          <c:tx>
            <c:v>Average of Food%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3"/>
              <c:pt idx="0">
                <c:v>2019</c:v>
              </c:pt>
              <c:pt idx="1">
                <c:v>2020</c:v>
              </c:pt>
              <c:pt idx="2">
                <c:v>2021</c:v>
              </c:pt>
            </c:strLit>
          </c:cat>
          <c:val>
            <c:numLit>
              <c:formatCode>General</c:formatCode>
              <c:ptCount val="3"/>
              <c:pt idx="0">
                <c:v>12.449255751014885</c:v>
              </c:pt>
              <c:pt idx="1">
                <c:v>9.1645508402853277</c:v>
              </c:pt>
              <c:pt idx="2">
                <c:v>4.8684061899921094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8FC-46F7-B0B9-C3CF1CE0ACE4}"/>
            </c:ext>
          </c:extLst>
        </c:ser>
        <c:ser>
          <c:idx val="2"/>
          <c:order val="2"/>
          <c:tx>
            <c:v>Average of Essential Services%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3"/>
              <c:pt idx="0">
                <c:v>2019</c:v>
              </c:pt>
              <c:pt idx="1">
                <c:v>2020</c:v>
              </c:pt>
              <c:pt idx="2">
                <c:v>2021</c:v>
              </c:pt>
            </c:strLit>
          </c:cat>
          <c:val>
            <c:numLit>
              <c:formatCode>General</c:formatCode>
              <c:ptCount val="3"/>
              <c:pt idx="0">
                <c:v>3.3366463154905581</c:v>
              </c:pt>
              <c:pt idx="1">
                <c:v>2.883695503621706</c:v>
              </c:pt>
              <c:pt idx="2">
                <c:v>6.7530064754856483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A8FC-46F7-B0B9-C3CF1CE0A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739328"/>
        <c:axId val="371740768"/>
      </c:lineChart>
      <c:catAx>
        <c:axId val="37173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40768"/>
        <c:crosses val="autoZero"/>
        <c:auto val="1"/>
        <c:lblAlgn val="ctr"/>
        <c:lblOffset val="100"/>
        <c:noMultiLvlLbl val="0"/>
      </c:catAx>
      <c:valAx>
        <c:axId val="37174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 (1) (1).csv.xlsx]Oil Inflation Anallysis!PivotTable2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'Oil Inflation Anallysis'!$B$37</c:f>
              <c:strCache>
                <c:ptCount val="1"/>
                <c:pt idx="0">
                  <c:v>Average of Fuel_Inflation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'Oil Inflation Anallysis'!$A$38:$A$41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'Oil Inflation Anallysis'!$B$38:$B$41</c:f>
              <c:numCache>
                <c:formatCode>General</c:formatCode>
                <c:ptCount val="3"/>
                <c:pt idx="0">
                  <c:v>5.5666666666666673</c:v>
                </c:pt>
                <c:pt idx="1">
                  <c:v>7.9166666666666652</c:v>
                </c:pt>
                <c:pt idx="2">
                  <c:v>6.8500000000000005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5-416D-833A-D19F374B228A}"/>
            </c:ext>
          </c:extLst>
        </c:ser>
        <c:ser>
          <c:idx val="1"/>
          <c:order val="1"/>
          <c:tx>
            <c:strRef>
              <c:f>'Oil Inflation Anallysis'!$C$37</c:f>
              <c:strCache>
                <c:ptCount val="1"/>
                <c:pt idx="0">
                  <c:v>Average of Transport_Inflation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'Oil Inflation Anallysis'!$A$38:$A$41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'Oil Inflation Anallysis'!$C$38:$C$41</c:f>
              <c:numCache>
                <c:formatCode>General</c:formatCode>
                <c:ptCount val="3"/>
                <c:pt idx="0">
                  <c:v>4.6833333333333336</c:v>
                </c:pt>
                <c:pt idx="1">
                  <c:v>7.1916666666666673</c:v>
                </c:pt>
                <c:pt idx="2">
                  <c:v>6.1999999999999993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5-416D-833A-D19F374B228A}"/>
            </c:ext>
          </c:extLst>
        </c:ser>
        <c:ser>
          <c:idx val="2"/>
          <c:order val="2"/>
          <c:tx>
            <c:strRef>
              <c:f>'Oil Inflation Anallysis'!$D$37</c:f>
              <c:strCache>
                <c:ptCount val="1"/>
                <c:pt idx="0">
                  <c:v>Average of Food_Inflation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'Oil Inflation Anallysis'!$A$38:$A$41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'Oil Inflation Anallysis'!$D$38:$D$41</c:f>
              <c:numCache>
                <c:formatCode>General</c:formatCode>
                <c:ptCount val="3"/>
                <c:pt idx="0">
                  <c:v>6.3750000000000009</c:v>
                </c:pt>
                <c:pt idx="1">
                  <c:v>8.0250000000000004</c:v>
                </c:pt>
                <c:pt idx="2">
                  <c:v>7.4499999999999993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5-416D-833A-D19F374B228A}"/>
            </c:ext>
          </c:extLst>
        </c:ser>
        <c:ser>
          <c:idx val="3"/>
          <c:order val="3"/>
          <c:tx>
            <c:strRef>
              <c:f>'Oil Inflation Anallysis'!$E$37</c:f>
              <c:strCache>
                <c:ptCount val="1"/>
                <c:pt idx="0">
                  <c:v>Average of Crude_Oil_Price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'Oil Inflation Anallysis'!$A$38:$A$41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'Oil Inflation Anallysis'!$E$38:$E$41</c:f>
              <c:numCache>
                <c:formatCode>General</c:formatCode>
                <c:ptCount val="3"/>
                <c:pt idx="0">
                  <c:v>68.5</c:v>
                </c:pt>
                <c:pt idx="1">
                  <c:v>95.25</c:v>
                </c:pt>
                <c:pt idx="2">
                  <c:v>84.25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5-416D-833A-D19F374B22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6460799"/>
        <c:axId val="166446399"/>
      </c:barChart>
      <c:catAx>
        <c:axId val="16646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6399"/>
        <c:crosses val="autoZero"/>
        <c:auto val="1"/>
        <c:lblAlgn val="ctr"/>
        <c:lblOffset val="100"/>
        <c:noMultiLvlLbl val="0"/>
      </c:catAx>
      <c:valAx>
        <c:axId val="166446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46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22</xdr:row>
      <xdr:rowOff>102870</xdr:rowOff>
    </xdr:from>
    <xdr:to>
      <xdr:col>3</xdr:col>
      <xdr:colOff>1264920</xdr:colOff>
      <xdr:row>43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F66D3B-C837-7ABB-28DE-A3988AF8C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22</xdr:row>
      <xdr:rowOff>95250</xdr:rowOff>
    </xdr:from>
    <xdr:to>
      <xdr:col>13</xdr:col>
      <xdr:colOff>198120</xdr:colOff>
      <xdr:row>40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69C868-0C80-A1E6-E4BA-851699E6B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380</xdr:row>
      <xdr:rowOff>53340</xdr:rowOff>
    </xdr:from>
    <xdr:to>
      <xdr:col>38</xdr:col>
      <xdr:colOff>327660</xdr:colOff>
      <xdr:row>399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CF6AB-7A46-A530-7BA1-421AD426F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21</xdr:row>
      <xdr:rowOff>163830</xdr:rowOff>
    </xdr:from>
    <xdr:to>
      <xdr:col>6</xdr:col>
      <xdr:colOff>1767840</xdr:colOff>
      <xdr:row>42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C2232E-3EB6-72BE-698F-F9F7D4EF9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1310640</xdr:colOff>
      <xdr:row>41</xdr:row>
      <xdr:rowOff>64770</xdr:rowOff>
    </xdr:from>
    <xdr:to>
      <xdr:col>6</xdr:col>
      <xdr:colOff>518160</xdr:colOff>
      <xdr:row>62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E6388-FB65-1341-780A-80DAD3FD2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Sati" refreshedDate="45929.51711458333" createdVersion="8" refreshedVersion="8" minRefreshableVersion="3" recordCount="8" xr:uid="{66ADE245-2D3B-44C8-A598-A0E9ED730E44}">
  <cacheSource type="worksheet">
    <worksheetSource name="Table3__4"/>
  </cacheSource>
  <cacheFields count="6">
    <cacheField name="Sector" numFmtId="0">
      <sharedItems count="2">
        <s v="Rural+Urban"/>
        <s v="Grand Total "/>
      </sharedItems>
    </cacheField>
    <cacheField name="Year" numFmtId="0">
      <sharedItems containsString="0" containsBlank="1" containsNumber="1" containsInteger="1" minValue="2023" maxValue="2023"/>
    </cacheField>
    <cacheField name="Month" numFmtId="0">
      <sharedItems containsBlank="1" count="2">
        <s v="May"/>
        <m/>
      </sharedItems>
    </cacheField>
    <cacheField name="Attribute" numFmtId="0">
      <sharedItems containsBlank="1" count="8">
        <s v="Clothing and footwear"/>
        <s v="Food And Beverages "/>
        <s v="Dairy "/>
        <s v="Health "/>
        <s v="Transport"/>
        <s v="Education "/>
        <s v="Others "/>
        <m/>
      </sharedItems>
    </cacheField>
    <cacheField name="Value" numFmtId="0">
      <sharedItems containsSemiMixedTypes="0" containsString="0" containsNumber="1" minValue="186.2" maxValue="4466.5"/>
    </cacheField>
    <cacheField name="Value%" numFmtId="10">
      <sharedItems containsSemiMixedTypes="0" containsString="0" containsNumber="1" minValue="4.1688122691145191E-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Sati" refreshedDate="45932.761778819447" createdVersion="8" refreshedVersion="8" minRefreshableVersion="3" recordCount="374" xr:uid="{E7DB90A5-B813-4652-A649-DAB9747A7311}">
  <cacheSource type="worksheet">
    <worksheetSource name="Table1"/>
  </cacheSource>
  <cacheFields count="37">
    <cacheField name="Sector" numFmtId="0">
      <sharedItems containsBlank="1" count="5">
        <s v="Rural"/>
        <s v="Urban"/>
        <s v="Rural+Urban"/>
        <m/>
        <s v="Grand total "/>
      </sharedItems>
    </cacheField>
    <cacheField name="Year" numFmtId="0">
      <sharedItems containsString="0" containsBlank="1" containsNumber="1" containsInteger="1" minValue="2013" maxValue="2023" count="12"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Month" numFmtId="0">
      <sharedItems containsBlank="1" count="15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  <s v="Marcrh"/>
        <m/>
      </sharedItems>
    </cacheField>
    <cacheField name="Cereals and products" numFmtId="0">
      <sharedItems containsBlank="1" containsMixedTypes="1" containsNumber="1" minValue="107.5" maxValue="174.8"/>
    </cacheField>
    <cacheField name="Meat and fish" numFmtId="0">
      <sharedItems containsBlank="1" containsMixedTypes="1" containsNumber="1" minValue="106.3" maxValue="223.4"/>
    </cacheField>
    <cacheField name="Egg" numFmtId="0">
      <sharedItems containsBlank="1" containsMixedTypes="1" containsNumber="1" minValue="102.7" maxValue="197"/>
    </cacheField>
    <cacheField name="Milk and products" numFmtId="0">
      <sharedItems containsBlank="1" containsMixedTypes="1" containsNumber="1" minValue="103.6" maxValue="179.6"/>
    </cacheField>
    <cacheField name="Oils and fats" numFmtId="0">
      <sharedItems containsBlank="1" containsMixedTypes="1" containsNumber="1" minValue="101.1" maxValue="209.9"/>
    </cacheField>
    <cacheField name="Fruits" numFmtId="0">
      <sharedItems containsBlank="1" containsMixedTypes="1" containsNumber="1" minValue="102.3" maxValue="179.5"/>
    </cacheField>
    <cacheField name="Vegetables" numFmtId="0">
      <sharedItems containsBlank="1" containsMixedTypes="1" containsNumber="1" minValue="101.4" maxValue="245.3"/>
    </cacheField>
    <cacheField name="Pulses and products" numFmtId="0">
      <sharedItems containsBlank="1" containsMixedTypes="1" containsNumber="1" minValue="103.5" maxValue="191.6"/>
    </cacheField>
    <cacheField name="Sugar and Confectionery" numFmtId="0">
      <sharedItems containsBlank="1" containsMixedTypes="1" containsNumber="1" minValue="85.3" maxValue="124.2"/>
    </cacheField>
    <cacheField name="Spices" numFmtId="0">
      <sharedItems containsBlank="1" containsMixedTypes="1" containsNumber="1" minValue="101.8" maxValue="221"/>
    </cacheField>
    <cacheField name="Non-alcoholic beverages" numFmtId="0">
      <sharedItems containsBlank="1" containsMixedTypes="1" containsNumber="1" minValue="104.8" maxValue="178.7"/>
    </cacheField>
    <cacheField name="Prepared meals, snacks, sweets etc." numFmtId="0">
      <sharedItems containsBlank="1" containsMixedTypes="1" containsNumber="1" minValue="106.7" maxValue="197.7"/>
    </cacheField>
    <cacheField name="Food and beverages" numFmtId="0">
      <sharedItems containsBlank="1" containsMixedTypes="1" containsNumber="1" minValue="105.5" maxValue="183.3"/>
    </cacheField>
    <cacheField name="Pan, tobacco and intoxicants" numFmtId="0">
      <sharedItems containsBlank="1" containsMixedTypes="1" containsNumber="1" minValue="105.1" maxValue="204.2"/>
    </cacheField>
    <cacheField name="Clothing" numFmtId="0">
      <sharedItems containsBlank="1" containsMixedTypes="1" containsNumber="1" minValue="105.9" maxValue="191.2"/>
    </cacheField>
    <cacheField name="Footwear" numFmtId="0">
      <sharedItems containsBlank="1" containsMixedTypes="1" containsNumber="1" minValue="105" maxValue="187.9"/>
    </cacheField>
    <cacheField name="Clothing and footwear" numFmtId="0">
      <sharedItems containsBlank="1" containsMixedTypes="1" containsNumber="1" minValue="105.8" maxValue="190.8"/>
    </cacheField>
    <cacheField name="Housing" numFmtId="0">
      <sharedItems containsBlank="1" containsMixedTypes="1" containsNumber="1" minValue="100.3" maxValue="175.6"/>
    </cacheField>
    <cacheField name="Fuel and light" numFmtId="0">
      <sharedItems containsBlank="1" containsMixedTypes="1" containsNumber="1" minValue="105.4" maxValue="183.4"/>
    </cacheField>
    <cacheField name="Household goods and services" numFmtId="0">
      <sharedItems containsBlank="1" containsMixedTypes="1" containsNumber="1" minValue="104.8" maxValue="179.8"/>
    </cacheField>
    <cacheField name="Health" numFmtId="0">
      <sharedItems containsBlank="1" containsMixedTypes="1" containsNumber="1" minValue="104" maxValue="187.8"/>
    </cacheField>
    <cacheField name="Transport and communication" numFmtId="0">
      <sharedItems containsBlank="1" containsMixedTypes="1" containsNumber="1" minValue="103.2" maxValue="169.7"/>
    </cacheField>
    <cacheField name="Recreation and amusement" numFmtId="0">
      <sharedItems containsBlank="1" containsMixedTypes="1" containsNumber="1" minValue="102.9" maxValue="173.8"/>
    </cacheField>
    <cacheField name="Education" numFmtId="0">
      <sharedItems containsBlank="1" containsMixedTypes="1" containsNumber="1" minValue="103.5" maxValue="180.3"/>
    </cacheField>
    <cacheField name="Personal care and effects" numFmtId="0">
      <sharedItems containsBlank="1" containsMixedTypes="1" containsNumber="1" minValue="102.1" maxValue="185.6"/>
    </cacheField>
    <cacheField name="Miscellaneous" numFmtId="0">
      <sharedItems containsBlank="1" containsMixedTypes="1" containsNumber="1" minValue="103.7" maxValue="179.5"/>
    </cacheField>
    <cacheField name="General index" numFmtId="0">
      <sharedItems containsBlank="1" containsMixedTypes="1" containsNumber="1" minValue="104" maxValue="179.8"/>
    </cacheField>
    <cacheField name="Food And Beverages2" numFmtId="0">
      <sharedItems containsSemiMixedTypes="0" containsString="0" containsNumber="1" minValue="0" maxValue="1979.4"/>
    </cacheField>
    <cacheField name="Dairy" numFmtId="0">
      <sharedItems containsSemiMixedTypes="0" containsString="0" containsNumber="1" minValue="0" maxValue="372.2"/>
    </cacheField>
    <cacheField name="Health2" numFmtId="0">
      <sharedItems containsSemiMixedTypes="0" containsString="0" containsNumber="1" minValue="0" maxValue="372.70000000000005"/>
    </cacheField>
    <cacheField name="Education " numFmtId="0">
      <sharedItems containsSemiMixedTypes="0" containsString="0" containsNumber="1" minValue="0" maxValue="343.5"/>
    </cacheField>
    <cacheField name="Others " numFmtId="0">
      <sharedItems containsSemiMixedTypes="0" containsString="0" containsNumber="1" minValue="0" maxValue="1254.2"/>
    </cacheField>
    <cacheField name="Food Category" numFmtId="0">
      <sharedItems containsString="0" containsBlank="1" containsNumber="1" minValue="1164" maxValue="15351.299999999997"/>
    </cacheField>
    <cacheField name="%change in food category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Sati" refreshedDate="45957.797046874999" createdVersion="8" refreshedVersion="8" minRefreshableVersion="3" recordCount="7" xr:uid="{9F7A1F07-758B-4FEF-BCEF-F7CC70EA13AD}">
  <cacheSource type="worksheet">
    <worksheetSource ref="A1:J8" sheet="Pandemic affect"/>
  </cacheSource>
  <cacheFields count="10">
    <cacheField name="Sector" numFmtId="0">
      <sharedItems count="2">
        <s v="Rural+Urban"/>
        <s v="Grand Total "/>
      </sharedItems>
    </cacheField>
    <cacheField name="Year" numFmtId="0">
      <sharedItems containsString="0" containsBlank="1" containsNumber="1" containsInteger="1" minValue="2019" maxValue="2021" count="4">
        <n v="2019"/>
        <n v="2020"/>
        <n v="2021"/>
        <m/>
      </sharedItems>
    </cacheField>
    <cacheField name="Month" numFmtId="0">
      <sharedItems containsBlank="1"/>
    </cacheField>
    <cacheField name="Health " numFmtId="0">
      <sharedItems containsString="0" containsBlank="1" containsNumber="1" minValue="277.89999999999998" maxValue="333.2"/>
    </cacheField>
    <cacheField name="Food " numFmtId="0">
      <sharedItems containsString="0" containsBlank="1" containsNumber="1" minValue="1478" maxValue="1856.8000000000002"/>
    </cacheField>
    <cacheField name="Essential services " numFmtId="0">
      <sharedItems containsString="0" containsBlank="1" containsNumber="1" minValue="704.3" maxValue="807.8"/>
    </cacheField>
    <cacheField name="Health %" numFmtId="0">
      <sharedItems containsString="0" containsBlank="1" containsNumber="1" minValue="4.6419575386829921" maxValue="17.510000000000002" count="5">
        <m/>
        <n v="4.6419575386829921"/>
        <n v="7.4616695059625133"/>
        <n v="5.4096804808604757"/>
        <n v="17.510000000000002"/>
      </sharedItems>
    </cacheField>
    <cacheField name="Food%" numFmtId="0">
      <sharedItems containsString="0" containsBlank="1" containsNumber="1" minValue="4.8684061899921094" maxValue="26.48"/>
    </cacheField>
    <cacheField name="Essential Services%" numFmtId="0">
      <sharedItems containsString="0" containsBlank="1" containsNumber="1" minValue="2.883695503621706" maxValue="12.97"/>
    </cacheField>
    <cacheField name="Years" numFmtId="0">
      <sharedItems containsString="0" containsBlank="1" containsNumber="1" containsInteger="1" minValue="2019" maxValue="2021"/>
    </cacheField>
  </cacheFields>
  <extLst>
    <ext xmlns:x14="http://schemas.microsoft.com/office/spreadsheetml/2009/9/main" uri="{725AE2AE-9491-48be-B2B4-4EB974FC3084}">
      <x14:pivotCacheDefinition pivotCacheId="117316089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Sati" refreshedDate="45960.583588078705" createdVersion="8" refreshedVersion="8" minRefreshableVersion="3" recordCount="14" xr:uid="{28DCBD21-D4EC-46F8-95A9-E3DA384E71DC}">
  <cacheSource type="worksheet">
    <worksheetSource ref="A1:F15" sheet="Years of highest inflation "/>
  </cacheSource>
  <cacheFields count="6">
    <cacheField name="Sector" numFmtId="0">
      <sharedItems count="1">
        <s v="Rural+Urban"/>
      </sharedItems>
    </cacheField>
    <cacheField name="Year" numFmtId="0">
      <sharedItems containsSemiMixedTypes="0" containsString="0" containsNumber="1" containsInteger="1" minValue="2016" maxValue="2023"/>
    </cacheField>
    <cacheField name="Month" numFmtId="0">
      <sharedItems/>
    </cacheField>
    <cacheField name="General index" numFmtId="0">
      <sharedItems containsSemiMixedTypes="0" containsString="0" containsNumber="1" minValue="127.3" maxValue="177.2" count="14">
        <n v="127.3"/>
        <n v="130.9"/>
        <n v="131.1"/>
        <n v="136.5"/>
        <n v="137.1"/>
        <n v="140.4"/>
        <n v="144.1"/>
        <n v="148.6"/>
        <n v="148.4"/>
        <n v="156.80000000000001"/>
        <n v="157.80000000000001"/>
        <n v="167.7"/>
        <n v="170.1"/>
        <n v="177.2"/>
      </sharedItems>
    </cacheField>
    <cacheField name="CPI Infllation " numFmtId="0">
      <sharedItems containsString="0" containsBlank="1" containsNumber="1" minValue="2.4070021881838159" maxValue="6.2737642585551185"/>
    </cacheField>
    <cacheField name="CPI inflation year " numFmtId="0">
      <sharedItems containsString="0" containsBlank="1" containsNumber="1" containsInteger="1" minValue="2017" maxValue="2023" count="8">
        <m/>
        <n v="2017"/>
        <n v="2018"/>
        <n v="2019"/>
        <n v="2020"/>
        <n v="2021"/>
        <n v="2022"/>
        <n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Sati" refreshedDate="45960.592562152779" createdVersion="8" refreshedVersion="8" minRefreshableVersion="3" recordCount="28" xr:uid="{8507ED0B-7CA9-4942-85B7-B525279A3FCA}">
  <cacheSource type="worksheet">
    <worksheetSource name="Table2"/>
  </cacheSource>
  <cacheFields count="11"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Month" numFmtId="0">
      <sharedItems/>
    </cacheField>
    <cacheField name="Crude_Oil_Price" numFmtId="0">
      <sharedItems containsSemiMixedTypes="0" containsString="0" containsNumber="1" containsInteger="1" minValue="54" maxValue="115"/>
    </cacheField>
    <cacheField name="Fuel_Inflation" numFmtId="0">
      <sharedItems containsSemiMixedTypes="0" containsString="0" containsNumber="1" minValue="4.0999999999999996" maxValue="9.3000000000000007"/>
    </cacheField>
    <cacheField name="Transport_Inflation" numFmtId="0">
      <sharedItems containsSemiMixedTypes="0" containsString="0" containsNumber="1" minValue="3.2" maxValue="8.6999999999999993"/>
    </cacheField>
    <cacheField name="Food_Inflation" numFmtId="0">
      <sharedItems containsSemiMixedTypes="0" containsString="0" containsNumber="1" minValue="5.5" maxValue="8.8000000000000007"/>
    </cacheField>
    <cacheField name="Oil_%Change" numFmtId="0">
      <sharedItems containsString="0" containsBlank="1" containsNumber="1" minValue="-8.3333333333333375" maxValue="14.13043478260869"/>
    </cacheField>
    <cacheField name="Fuel_%Change" numFmtId="0">
      <sharedItems containsString="0" containsBlank="1" containsNumber="1" minValue="-7.8651685393258504" maxValue="11.627906976744191"/>
    </cacheField>
    <cacheField name="Transport_%Change" numFmtId="0">
      <sharedItems containsString="0" containsBlank="1" containsNumber="1" minValue="-8.5714285714285623" maxValue="10.526315789473699"/>
    </cacheField>
    <cacheField name="Food_%Change" numFmtId="0">
      <sharedItems containsString="0" containsBlank="1" containsNumber="1" minValue="-3.7974683544303889" maxValue="5.1724137931034484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2023"/>
    <x v="0"/>
    <x v="0"/>
    <n v="186.2"/>
    <n v="4.1688122691145191E-2"/>
  </r>
  <r>
    <x v="0"/>
    <n v="2023"/>
    <x v="0"/>
    <x v="1"/>
    <n v="1954.2"/>
    <n v="0.43752378820105231"/>
  </r>
  <r>
    <x v="0"/>
    <n v="2023"/>
    <x v="0"/>
    <x v="2"/>
    <n v="352.7"/>
    <n v="7.8965633046009176E-2"/>
  </r>
  <r>
    <x v="0"/>
    <n v="2023"/>
    <x v="0"/>
    <x v="3"/>
    <n v="370.9"/>
    <n v="8.3040411955669982E-2"/>
  </r>
  <r>
    <x v="0"/>
    <n v="2023"/>
    <x v="0"/>
    <x v="4"/>
    <n v="347.6"/>
    <n v="7.782379939549984E-2"/>
  </r>
  <r>
    <x v="0"/>
    <n v="2023"/>
    <x v="0"/>
    <x v="5"/>
    <n v="348.29999999999995"/>
    <n v="7.7980521661256005E-2"/>
  </r>
  <r>
    <x v="0"/>
    <n v="2023"/>
    <x v="0"/>
    <x v="6"/>
    <n v="906.6"/>
    <n v="0.20297772304936751"/>
  </r>
  <r>
    <x v="1"/>
    <m/>
    <x v="1"/>
    <x v="7"/>
    <n v="4466.5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  <n v="1158.6999999999998"/>
    <n v="213"/>
    <n v="208.7"/>
    <n v="206.7"/>
    <n v="627.80000000000007"/>
    <n v="1167.7"/>
    <n v="7.6065219232247447E-2"/>
  </r>
  <r>
    <x v="1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  <n v="1159.8000000000002"/>
    <n v="216.6"/>
    <n v="208.39999999999998"/>
    <n v="206.10000000000002"/>
    <n v="726.6"/>
    <m/>
    <n v="0"/>
  </r>
  <r>
    <x v="2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  <n v="1158.8999999999999"/>
    <n v="214.4"/>
    <n v="208.5"/>
    <n v="206.3"/>
    <n v="727.4"/>
    <m/>
    <n v="0"/>
  </r>
  <r>
    <x v="0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  <n v="1164.8"/>
    <n v="215.60000000000002"/>
    <n v="209"/>
    <n v="207.9"/>
    <n v="631.09999999999991"/>
    <m/>
    <n v="0"/>
  </r>
  <r>
    <x v="1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  <n v="1169.7"/>
    <n v="220.9"/>
    <n v="209"/>
    <n v="207.7"/>
    <n v="730.7"/>
    <m/>
    <n v="0"/>
  </r>
  <r>
    <x v="2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  <n v="1166.5"/>
    <n v="217.7"/>
    <n v="209"/>
    <n v="207.8"/>
    <n v="731.19999999999993"/>
    <m/>
    <n v="0"/>
  </r>
  <r>
    <x v="0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  <n v="1166.6999999999998"/>
    <n v="215.5"/>
    <n v="209"/>
    <n v="208.6"/>
    <n v="633.4"/>
    <m/>
    <n v="0"/>
  </r>
  <r>
    <x v="1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  <n v="1169.3"/>
    <n v="217.5"/>
    <n v="209.4"/>
    <n v="209"/>
    <n v="734.3"/>
    <m/>
    <n v="0"/>
  </r>
  <r>
    <x v="2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  <n v="1167.7000000000003"/>
    <n v="216.3"/>
    <n v="209.2"/>
    <n v="208.8"/>
    <n v="734.00000000000011"/>
    <m/>
    <n v="0"/>
  </r>
  <r>
    <x v="0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  <n v="1172.6000000000001"/>
    <n v="213.2"/>
    <n v="207.8"/>
    <n v="208.9"/>
    <n v="635.1"/>
    <m/>
    <n v="0"/>
  </r>
  <r>
    <x v="1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  <n v="1187"/>
    <n v="210.7"/>
    <n v="208.9"/>
    <n v="209"/>
    <n v="737.7"/>
    <m/>
    <n v="0"/>
  </r>
  <r>
    <x v="2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  <n v="1177.8999999999999"/>
    <n v="212.3"/>
    <n v="208.2"/>
    <n v="208.9"/>
    <n v="736.4"/>
    <m/>
    <n v="0"/>
  </r>
  <r>
    <x v="0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  <n v="1180.5999999999999"/>
    <n v="213.4"/>
    <n v="207.8"/>
    <n v="209.1"/>
    <n v="638.5"/>
    <m/>
    <n v="0"/>
  </r>
  <r>
    <x v="1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  <n v="1209"/>
    <n v="208.2"/>
    <n v="208.8"/>
    <n v="208.5"/>
    <n v="740"/>
    <m/>
    <n v="0"/>
  </r>
  <r>
    <x v="2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  <n v="1190.7"/>
    <n v="211.5"/>
    <n v="208.2"/>
    <n v="208.8"/>
    <n v="739.09999999999991"/>
    <m/>
    <n v="0"/>
  </r>
  <r>
    <x v="0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  <n v="1203.5999999999999"/>
    <n v="216.39999999999998"/>
    <n v="208.8"/>
    <n v="210.6"/>
    <n v="644.4"/>
    <m/>
    <n v="0"/>
  </r>
  <r>
    <x v="1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  <n v="1244.8"/>
    <n v="219.8"/>
    <n v="209.8"/>
    <n v="210.4"/>
    <n v="754.2"/>
    <m/>
    <n v="0"/>
  </r>
  <r>
    <x v="2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  <n v="1218.3"/>
    <n v="217.7"/>
    <n v="209.2"/>
    <n v="210.5"/>
    <n v="752.19999999999993"/>
    <m/>
    <n v="0"/>
  </r>
  <r>
    <x v="0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  <n v="1226.0999999999999"/>
    <n v="219.8"/>
    <n v="209.4"/>
    <n v="213.2"/>
    <n v="651.60000000000014"/>
    <m/>
    <n v="0"/>
  </r>
  <r>
    <x v="1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  <n v="1267.0999999999999"/>
    <n v="222.3"/>
    <n v="210.3"/>
    <n v="213.2"/>
    <n v="762.09999999999991"/>
    <m/>
    <n v="0"/>
  </r>
  <r>
    <x v="2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  <n v="1240.5999999999999"/>
    <n v="220.8"/>
    <n v="209.8"/>
    <n v="213.2"/>
    <n v="760.4"/>
    <m/>
    <n v="0"/>
  </r>
  <r>
    <x v="0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  <n v="1241.4000000000001"/>
    <n v="221.1"/>
    <n v="212.5"/>
    <n v="214.6"/>
    <n v="656.7"/>
    <m/>
    <n v="0"/>
  </r>
  <r>
    <x v="1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  <n v="1284.5"/>
    <n v="221.60000000000002"/>
    <n v="213.6"/>
    <n v="214.6"/>
    <n v="768.4"/>
    <m/>
    <n v="0"/>
  </r>
  <r>
    <x v="2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  <n v="1256.1000000000001"/>
    <n v="221.3"/>
    <n v="212.9"/>
    <n v="214.6"/>
    <n v="766.8"/>
    <m/>
    <n v="0"/>
  </r>
  <r>
    <x v="0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  <n v="1265.8"/>
    <n v="222.7"/>
    <n v="215"/>
    <n v="217"/>
    <n v="664.6"/>
    <m/>
    <n v="0"/>
  </r>
  <r>
    <x v="1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  <n v="1277.6000000000001"/>
    <n v="222.8"/>
    <n v="214.8"/>
    <n v="217.8"/>
    <n v="774.7"/>
    <m/>
    <n v="0"/>
  </r>
  <r>
    <x v="2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  <n v="1268.8999999999999"/>
    <n v="222.8"/>
    <n v="214.89999999999998"/>
    <n v="217.4"/>
    <n v="774.4"/>
    <m/>
    <n v="0"/>
  </r>
  <r>
    <x v="0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  <n v="1283.7"/>
    <n v="224.3"/>
    <n v="216.4"/>
    <n v="217.6"/>
    <n v="668.1"/>
    <m/>
    <n v="0"/>
  </r>
  <r>
    <x v="1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  <n v="1292.3"/>
    <n v="224.9"/>
    <n v="215.5"/>
    <n v="217.7"/>
    <n v="777"/>
    <m/>
    <n v="0"/>
  </r>
  <r>
    <x v="2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  <n v="1285.7000000000003"/>
    <n v="224.5"/>
    <n v="216"/>
    <n v="217.6"/>
    <n v="777.7"/>
    <m/>
    <n v="0"/>
  </r>
  <r>
    <x v="0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  <n v="1307.8000000000002"/>
    <n v="229"/>
    <n v="217.9"/>
    <n v="218.3"/>
    <n v="673.49999999999989"/>
    <m/>
    <n v="0"/>
  </r>
  <r>
    <x v="1"/>
    <x v="0"/>
    <x v="11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  <n v="1310"/>
    <n v="234.6"/>
    <n v="216.5"/>
    <n v="218"/>
    <n v="780.2"/>
    <m/>
    <n v="0"/>
  </r>
  <r>
    <x v="2"/>
    <x v="0"/>
    <x v="11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  <n v="1307.5999999999999"/>
    <n v="231.2"/>
    <n v="217.39999999999998"/>
    <n v="218.1"/>
    <n v="782.4"/>
    <m/>
    <n v="0"/>
  </r>
  <r>
    <x v="0"/>
    <x v="0"/>
    <x v="12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  <n v="1274.8"/>
    <n v="234.2"/>
    <n v="218.2"/>
    <n v="219.10000000000002"/>
    <n v="674"/>
    <m/>
    <n v="0"/>
  </r>
  <r>
    <x v="1"/>
    <x v="0"/>
    <x v="12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  <n v="1263.0999999999999"/>
    <n v="241.3"/>
    <n v="216.7"/>
    <n v="218.60000000000002"/>
    <n v="780.19999999999993"/>
    <m/>
    <n v="0"/>
  </r>
  <r>
    <x v="2"/>
    <x v="0"/>
    <x v="12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  <n v="1270.4000000000003"/>
    <n v="236.9"/>
    <n v="217.60000000000002"/>
    <n v="218.8"/>
    <n v="782.6"/>
    <m/>
    <n v="0"/>
  </r>
  <r>
    <x v="0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  <n v="1251.7"/>
    <n v="234.9"/>
    <n v="218.89999999999998"/>
    <n v="220.1"/>
    <n v="674.90000000000009"/>
    <m/>
    <n v="0"/>
  </r>
  <r>
    <x v="1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  <n v="1240.8000000000002"/>
    <n v="243.5"/>
    <n v="217.7"/>
    <n v="220.6"/>
    <n v="784.4"/>
    <m/>
    <n v="0"/>
  </r>
  <r>
    <x v="2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  <n v="1247.5999999999999"/>
    <n v="238.2"/>
    <n v="218.5"/>
    <n v="220.4"/>
    <n v="785.50000000000011"/>
    <m/>
    <n v="0"/>
  </r>
  <r>
    <x v="0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  <n v="1246"/>
    <n v="236.2"/>
    <n v="219.60000000000002"/>
    <n v="220.7"/>
    <n v="676"/>
    <m/>
    <n v="0"/>
  </r>
  <r>
    <x v="1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  <n v="1236.3000000000002"/>
    <n v="239.7"/>
    <n v="219.10000000000002"/>
    <n v="221.6"/>
    <n v="787.8"/>
    <m/>
    <n v="0"/>
  </r>
  <r>
    <x v="2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  <n v="1242.5"/>
    <n v="237.6"/>
    <n v="219.4"/>
    <n v="221.2"/>
    <n v="788"/>
    <m/>
    <n v="0"/>
  </r>
  <r>
    <x v="0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  <n v="1254.6000000000001"/>
    <n v="236.8"/>
    <n v="220.3"/>
    <n v="221.4"/>
    <n v="678.5"/>
    <m/>
    <n v="0"/>
  </r>
  <r>
    <x v="1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  <n v="1245.3"/>
    <n v="237.7"/>
    <n v="220"/>
    <n v="222.5"/>
    <n v="790.5"/>
    <m/>
    <n v="0"/>
  </r>
  <r>
    <x v="2"/>
    <x v="1"/>
    <x v="13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  <n v="1251.1999999999998"/>
    <n v="237.1"/>
    <n v="220.2"/>
    <n v="222"/>
    <n v="791"/>
    <m/>
    <n v="0"/>
  </r>
  <r>
    <x v="0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  <n v="1269"/>
    <n v="235.1"/>
    <n v="220.7"/>
    <n v="221.7"/>
    <n v="680.6"/>
    <m/>
    <n v="0"/>
  </r>
  <r>
    <x v="1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  <n v="1273.6999999999998"/>
    <n v="230.3"/>
    <n v="220.1"/>
    <n v="222.4"/>
    <n v="793.1"/>
    <m/>
    <n v="0"/>
  </r>
  <r>
    <x v="2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  <n v="1270.8999999999999"/>
    <n v="233.2"/>
    <n v="220.5"/>
    <n v="222.10000000000002"/>
    <n v="793.80000000000007"/>
    <m/>
    <n v="0"/>
  </r>
  <r>
    <x v="0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  <n v="1279.0000000000002"/>
    <n v="234.9"/>
    <n v="221"/>
    <n v="222.3"/>
    <n v="682.99999999999989"/>
    <m/>
    <n v="0"/>
  </r>
  <r>
    <x v="1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  <n v="1292"/>
    <n v="233.3"/>
    <n v="220.5"/>
    <n v="222.8"/>
    <n v="796.4"/>
    <m/>
    <n v="0"/>
  </r>
  <r>
    <x v="2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  <n v="1284.2"/>
    <n v="234.3"/>
    <n v="220.89999999999998"/>
    <n v="222.5"/>
    <n v="796.59999999999991"/>
    <m/>
    <n v="0"/>
  </r>
  <r>
    <x v="0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  <n v="1290.3"/>
    <n v="235.39999999999998"/>
    <n v="220.8"/>
    <n v="223.60000000000002"/>
    <n v="688.1"/>
    <m/>
    <n v="0"/>
  </r>
  <r>
    <x v="1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  <n v="1311.1999999999998"/>
    <n v="235.8"/>
    <n v="220.10000000000002"/>
    <n v="223.3"/>
    <n v="798.50000000000011"/>
    <m/>
    <n v="0"/>
  </r>
  <r>
    <x v="2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  <n v="1298.2"/>
    <n v="235.5"/>
    <n v="220.6"/>
    <n v="223.39999999999998"/>
    <n v="800.3"/>
    <m/>
    <n v="0"/>
  </r>
  <r>
    <x v="0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  <n v="1324.9"/>
    <n v="238.3"/>
    <n v="222.2"/>
    <n v="225"/>
    <n v="694.5"/>
    <m/>
    <n v="0"/>
  </r>
  <r>
    <x v="1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  <n v="1359.9"/>
    <n v="239.6"/>
    <n v="221.2"/>
    <n v="225.4"/>
    <n v="807.69999999999993"/>
    <m/>
    <n v="0"/>
  </r>
  <r>
    <x v="2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  <n v="1337.5"/>
    <n v="238.8"/>
    <n v="221.9"/>
    <n v="225.2"/>
    <n v="808.3"/>
    <m/>
    <n v="0"/>
  </r>
  <r>
    <x v="0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  <n v="1342.6000000000001"/>
    <n v="239.7"/>
    <n v="223.4"/>
    <n v="225.4"/>
    <n v="697.5"/>
    <m/>
    <n v="0"/>
  </r>
  <r>
    <x v="1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  <n v="1378.3000000000002"/>
    <n v="238.7"/>
    <n v="222.7"/>
    <n v="225.4"/>
    <n v="811.9"/>
    <m/>
    <n v="0"/>
  </r>
  <r>
    <x v="2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  <n v="1355.1999999999998"/>
    <n v="239.3"/>
    <n v="223.2"/>
    <n v="225.39999999999998"/>
    <n v="811.8"/>
    <m/>
    <n v="0"/>
  </r>
  <r>
    <x v="0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  <n v="1342.7"/>
    <n v="240.5"/>
    <n v="223.6"/>
    <n v="225.39999999999998"/>
    <n v="699.4"/>
    <m/>
    <n v="0"/>
  </r>
  <r>
    <x v="1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  <n v="1354.6000000000001"/>
    <n v="239.10000000000002"/>
    <n v="222.3"/>
    <n v="224.60000000000002"/>
    <n v="811.7"/>
    <m/>
    <n v="0"/>
  </r>
  <r>
    <x v="2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  <n v="1346.1"/>
    <n v="240"/>
    <n v="223.2"/>
    <n v="225.1"/>
    <n v="813.1"/>
    <m/>
    <n v="0"/>
  </r>
  <r>
    <x v="0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  <n v="1339.6999999999998"/>
    <n v="241.5"/>
    <n v="224.6"/>
    <n v="225.6"/>
    <n v="701.5"/>
    <m/>
    <n v="0"/>
  </r>
  <r>
    <x v="1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  <n v="1346.6"/>
    <n v="240.89999999999998"/>
    <n v="222.7"/>
    <n v="224.6"/>
    <n v="812.6"/>
    <m/>
    <n v="0"/>
  </r>
  <r>
    <x v="2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  <n v="1341.4"/>
    <n v="241.3"/>
    <n v="223.89999999999998"/>
    <n v="225.1"/>
    <n v="815"/>
    <m/>
    <n v="0"/>
  </r>
  <r>
    <x v="0"/>
    <x v="1"/>
    <x v="11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  <n v="1338.1000000000001"/>
    <n v="243.9"/>
    <n v="224.7"/>
    <n v="225.3"/>
    <n v="703.4"/>
    <m/>
    <n v="0"/>
  </r>
  <r>
    <x v="1"/>
    <x v="1"/>
    <x v="11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  <n v="1340.5000000000002"/>
    <n v="247.3"/>
    <n v="222.6"/>
    <n v="223.7"/>
    <n v="814"/>
    <m/>
    <n v="0"/>
  </r>
  <r>
    <x v="2"/>
    <x v="1"/>
    <x v="11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  <n v="1338"/>
    <n v="245.2"/>
    <n v="223.89999999999998"/>
    <n v="224.5"/>
    <n v="816.69999999999993"/>
    <m/>
    <n v="0"/>
  </r>
  <r>
    <x v="0"/>
    <x v="1"/>
    <x v="12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  <n v="1323.6"/>
    <n v="246"/>
    <n v="225.60000000000002"/>
    <n v="224.8"/>
    <n v="703.3"/>
    <m/>
    <n v="0"/>
  </r>
  <r>
    <x v="1"/>
    <x v="1"/>
    <x v="12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  <n v="1325.9999999999998"/>
    <n v="251.2"/>
    <n v="223.60000000000002"/>
    <n v="223.1"/>
    <n v="813.3"/>
    <m/>
    <n v="0"/>
  </r>
  <r>
    <x v="2"/>
    <x v="1"/>
    <x v="12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  <n v="1323.7"/>
    <n v="248"/>
    <n v="224.89999999999998"/>
    <n v="224"/>
    <n v="815.99999999999989"/>
    <m/>
    <n v="0"/>
  </r>
  <r>
    <x v="0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  <n v="1321.1000000000001"/>
    <n v="247"/>
    <n v="226.8"/>
    <n v="225"/>
    <n v="705.8"/>
    <m/>
    <n v="0"/>
  </r>
  <r>
    <x v="1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  <n v="1323.1"/>
    <n v="251.8"/>
    <n v="225.10000000000002"/>
    <n v="222.5"/>
    <n v="815.1"/>
    <m/>
    <n v="0"/>
  </r>
  <r>
    <x v="2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  <n v="1320.5"/>
    <n v="248.8"/>
    <n v="226.2"/>
    <n v="223.7"/>
    <n v="818.8"/>
    <m/>
    <n v="0"/>
  </r>
  <r>
    <x v="0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  <n v="1322.7"/>
    <n v="247.89999999999998"/>
    <n v="228.5"/>
    <n v="225.7"/>
    <n v="710.3"/>
    <m/>
    <n v="0"/>
  </r>
  <r>
    <x v="1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  <n v="1326.0000000000002"/>
    <n v="245.1"/>
    <n v="225.8"/>
    <n v="221.7"/>
    <n v="816.6"/>
    <m/>
    <n v="0"/>
  </r>
  <r>
    <x v="2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  <n v="1322.6"/>
    <n v="246.8"/>
    <n v="227.5"/>
    <n v="223.60000000000002"/>
    <n v="822.2"/>
    <m/>
    <n v="0"/>
  </r>
  <r>
    <x v="0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  <n v="1326.6"/>
    <n v="244.9"/>
    <n v="229"/>
    <n v="227.1"/>
    <n v="713.7"/>
    <m/>
    <n v="0"/>
  </r>
  <r>
    <x v="1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  <n v="1328.6000000000001"/>
    <n v="239.4"/>
    <n v="225.6"/>
    <n v="223.8"/>
    <n v="821.1"/>
    <m/>
    <n v="0"/>
  </r>
  <r>
    <x v="2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  <n v="1326.3000000000002"/>
    <n v="242.8"/>
    <n v="227.7"/>
    <n v="225.3"/>
    <n v="826.7"/>
    <m/>
    <n v="0"/>
  </r>
  <r>
    <x v="0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  <n v="1333.2"/>
    <n v="244"/>
    <n v="230.2"/>
    <n v="228.10000000000002"/>
    <n v="717.2"/>
    <m/>
    <n v="0"/>
  </r>
  <r>
    <x v="1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  <n v="1339.8"/>
    <n v="236.3"/>
    <n v="226.39999999999998"/>
    <n v="224"/>
    <n v="824.7"/>
    <m/>
    <n v="0"/>
  </r>
  <r>
    <x v="2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  <n v="1334.6999999999998"/>
    <n v="241"/>
    <n v="228.8"/>
    <n v="226"/>
    <n v="830.40000000000009"/>
    <m/>
    <n v="0"/>
  </r>
  <r>
    <x v="0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  <n v="1342.7"/>
    <n v="245"/>
    <n v="231.7"/>
    <n v="230"/>
    <n v="722.7"/>
    <m/>
    <n v="0"/>
  </r>
  <r>
    <x v="1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  <n v="1361"/>
    <n v="237.89999999999998"/>
    <n v="227.3"/>
    <n v="226.8"/>
    <n v="831.2"/>
    <m/>
    <n v="0"/>
  </r>
  <r>
    <x v="2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  <n v="1348.1"/>
    <n v="242.3"/>
    <n v="230"/>
    <n v="228.3"/>
    <n v="836.6"/>
    <m/>
    <n v="0"/>
  </r>
  <r>
    <x v="0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  <n v="1367.1"/>
    <n v="250.79999999999998"/>
    <n v="233.4"/>
    <n v="232.10000000000002"/>
    <n v="729.8"/>
    <m/>
    <n v="0"/>
  </r>
  <r>
    <x v="1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  <n v="1388.4"/>
    <n v="248.2"/>
    <n v="227.9"/>
    <n v="227.9"/>
    <n v="834.80000000000007"/>
    <m/>
    <n v="0"/>
  </r>
  <r>
    <x v="2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  <n v="1373.7"/>
    <n v="249.79999999999998"/>
    <n v="231.3"/>
    <n v="229.8"/>
    <n v="842"/>
    <m/>
    <n v="0"/>
  </r>
  <r>
    <x v="0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  <n v="1374.6000000000001"/>
    <n v="250.7"/>
    <n v="233.5"/>
    <n v="232.1"/>
    <n v="732.30000000000007"/>
    <m/>
    <n v="0"/>
  </r>
  <r>
    <x v="1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  <n v="1395.7"/>
    <n v="247.2"/>
    <n v="227.7"/>
    <n v="228.1"/>
    <n v="837.99999999999989"/>
    <m/>
    <n v="0"/>
  </r>
  <r>
    <x v="2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  <n v="1381.3000000000002"/>
    <n v="249.3"/>
    <n v="231.3"/>
    <n v="229.9"/>
    <n v="845.2"/>
    <m/>
    <n v="0"/>
  </r>
  <r>
    <x v="0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  <n v="1396.4999999999998"/>
    <n v="250.10000000000002"/>
    <n v="233.6"/>
    <n v="232.1"/>
    <n v="735.5"/>
    <m/>
    <n v="0"/>
  </r>
  <r>
    <x v="1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  <n v="1412.7999999999997"/>
    <n v="246.1"/>
    <n v="228.6"/>
    <n v="227.10000000000002"/>
    <n v="839.7"/>
    <m/>
    <n v="0"/>
  </r>
  <r>
    <x v="2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  <n v="1400.9999999999998"/>
    <n v="248.6"/>
    <n v="231.7"/>
    <n v="229.5"/>
    <n v="848.4"/>
    <m/>
    <n v="0"/>
  </r>
  <r>
    <x v="0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  <n v="1407.7"/>
    <n v="249.89999999999998"/>
    <n v="235.10000000000002"/>
    <n v="233.39999999999998"/>
    <n v="738.8"/>
    <m/>
    <n v="0"/>
  </r>
  <r>
    <x v="1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  <n v="1420.8999999999999"/>
    <n v="243.9"/>
    <n v="230"/>
    <n v="226.39999999999998"/>
    <n v="840.6"/>
    <m/>
    <n v="0"/>
  </r>
  <r>
    <x v="2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  <n v="1410.7"/>
    <n v="247.60000000000002"/>
    <n v="233.2"/>
    <n v="229.6"/>
    <n v="850.8"/>
    <m/>
    <n v="0"/>
  </r>
  <r>
    <x v="0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  <n v="1424.3999999999999"/>
    <n v="250.2"/>
    <n v="236.2"/>
    <n v="233.89999999999998"/>
    <n v="741.7"/>
    <m/>
    <n v="0"/>
  </r>
  <r>
    <x v="1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  <n v="1448.4"/>
    <n v="244.4"/>
    <n v="231.2"/>
    <n v="227"/>
    <n v="843.30000000000007"/>
    <m/>
    <n v="0"/>
  </r>
  <r>
    <x v="2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  <n v="1430.9999999999998"/>
    <n v="248"/>
    <n v="234.3"/>
    <n v="230.10000000000002"/>
    <n v="854.1"/>
    <m/>
    <n v="0"/>
  </r>
  <r>
    <x v="0"/>
    <x v="2"/>
    <x v="11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  <n v="1435.1"/>
    <n v="251.2"/>
    <n v="236.8"/>
    <n v="234.9"/>
    <n v="745.3"/>
    <m/>
    <n v="0"/>
  </r>
  <r>
    <x v="1"/>
    <x v="2"/>
    <x v="11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  <n v="1458.3999999999999"/>
    <n v="250.1"/>
    <n v="231.39999999999998"/>
    <n v="227.2"/>
    <n v="847.1"/>
    <m/>
    <n v="0"/>
  </r>
  <r>
    <x v="2"/>
    <x v="2"/>
    <x v="11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  <n v="1441.3000000000002"/>
    <n v="250.79999999999998"/>
    <n v="234.7"/>
    <n v="230.7"/>
    <n v="857.7"/>
    <m/>
    <n v="0"/>
  </r>
  <r>
    <x v="0"/>
    <x v="2"/>
    <x v="12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  <n v="1429.2"/>
    <n v="253.10000000000002"/>
    <n v="237.2"/>
    <n v="235.6"/>
    <n v="746.5"/>
    <m/>
    <n v="0"/>
  </r>
  <r>
    <x v="1"/>
    <x v="2"/>
    <x v="12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  <n v="1443.1000000000001"/>
    <n v="255.7"/>
    <n v="231.8"/>
    <n v="227.39999999999998"/>
    <n v="847.6"/>
    <m/>
    <n v="0"/>
  </r>
  <r>
    <x v="2"/>
    <x v="2"/>
    <x v="12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  <n v="1431.9"/>
    <n v="254.2"/>
    <n v="235.10000000000002"/>
    <n v="231.1"/>
    <n v="858.4"/>
    <m/>
    <n v="0"/>
  </r>
  <r>
    <x v="0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  <n v="1433.3000000000002"/>
    <n v="256.8"/>
    <n v="238.60000000000002"/>
    <n v="235"/>
    <n v="748.2"/>
    <m/>
    <n v="0"/>
  </r>
  <r>
    <x v="1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  <n v="1440.2"/>
    <n v="261.2"/>
    <n v="233.1"/>
    <n v="227.4"/>
    <n v="851.3"/>
    <m/>
    <n v="0"/>
  </r>
  <r>
    <x v="2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  <n v="1433.1999999999998"/>
    <n v="258.5"/>
    <n v="236.5"/>
    <n v="230.89999999999998"/>
    <n v="861.4"/>
    <m/>
    <n v="0"/>
  </r>
  <r>
    <x v="0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  <n v="1424.1999999999998"/>
    <n v="258.39999999999998"/>
    <n v="241.1"/>
    <n v="236.2"/>
    <n v="751.69999999999993"/>
    <m/>
    <n v="0"/>
  </r>
  <r>
    <x v="1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  <n v="1416.1999999999998"/>
    <n v="259.89999999999998"/>
    <n v="235.7"/>
    <n v="227.89999999999998"/>
    <n v="852.3"/>
    <m/>
    <n v="0"/>
  </r>
  <r>
    <x v="2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  <n v="1419.1000000000001"/>
    <n v="259"/>
    <n v="239.1"/>
    <n v="231.7"/>
    <n v="864.5"/>
    <m/>
    <n v="0"/>
  </r>
  <r>
    <x v="0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  <n v="1427.1000000000001"/>
    <n v="255.6"/>
    <n v="242.2"/>
    <n v="236.1"/>
    <n v="752.4"/>
    <m/>
    <n v="0"/>
  </r>
  <r>
    <x v="1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  <n v="1414.2"/>
    <n v="253.39999999999998"/>
    <n v="236.8"/>
    <n v="227.6"/>
    <n v="852.19999999999993"/>
    <m/>
    <n v="0"/>
  </r>
  <r>
    <x v="0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  <n v="1446.9000000000003"/>
    <n v="254.70000000000002"/>
    <n v="243.60000000000002"/>
    <n v="237.60000000000002"/>
    <n v="755.6"/>
    <m/>
    <n v="0"/>
  </r>
  <r>
    <x v="1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  <n v="1456.2"/>
    <n v="250.1"/>
    <n v="237.6"/>
    <n v="229.5"/>
    <n v="858"/>
    <m/>
    <n v="0"/>
  </r>
  <r>
    <x v="0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  <n v="1466.8999999999999"/>
    <n v="256.8"/>
    <n v="245.5"/>
    <n v="238.7"/>
    <n v="759.8"/>
    <m/>
    <n v="0"/>
  </r>
  <r>
    <x v="1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  <n v="1489.3999999999999"/>
    <n v="257.39999999999998"/>
    <n v="238.8"/>
    <n v="230.5"/>
    <n v="862.40000000000009"/>
    <m/>
    <n v="0"/>
  </r>
  <r>
    <x v="2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  <n v="1473.3000000000002"/>
    <n v="257.10000000000002"/>
    <n v="242.9"/>
    <n v="234.3"/>
    <n v="874.5"/>
    <m/>
    <n v="0"/>
  </r>
  <r>
    <x v="0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  <n v="1488.3999999999999"/>
    <n v="260.2"/>
    <n v="246.10000000000002"/>
    <n v="240.39999999999998"/>
    <n v="766"/>
    <m/>
    <n v="0"/>
  </r>
  <r>
    <x v="1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  <n v="1525.1000000000001"/>
    <n v="261.89999999999998"/>
    <n v="239.39999999999998"/>
    <n v="232.2"/>
    <n v="866.9"/>
    <m/>
    <n v="0"/>
  </r>
  <r>
    <x v="2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  <n v="1499.7"/>
    <n v="260.89999999999998"/>
    <n v="243.5"/>
    <n v="235.9"/>
    <n v="879.7"/>
    <m/>
    <n v="0"/>
  </r>
  <r>
    <x v="0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  <n v="1506.1999999999998"/>
    <n v="264.10000000000002"/>
    <n v="247.60000000000002"/>
    <n v="241.60000000000002"/>
    <n v="769.4"/>
    <m/>
    <n v="0"/>
  </r>
  <r>
    <x v="1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  <n v="1543.1"/>
    <n v="268.39999999999998"/>
    <n v="240.9"/>
    <n v="232"/>
    <n v="868.9"/>
    <m/>
    <n v="0"/>
  </r>
  <r>
    <x v="2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  <n v="1517.7"/>
    <n v="265.8"/>
    <n v="245"/>
    <n v="236.3"/>
    <n v="882.9"/>
    <m/>
    <n v="0"/>
  </r>
  <r>
    <x v="0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  <n v="1511.8999999999999"/>
    <n v="265.60000000000002"/>
    <n v="249"/>
    <n v="241.5"/>
    <n v="772.30000000000007"/>
    <m/>
    <n v="0"/>
  </r>
  <r>
    <x v="1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  <n v="1518.1"/>
    <n v="265.89999999999998"/>
    <n v="242.10000000000002"/>
    <n v="231"/>
    <n v="868.19999999999993"/>
    <m/>
    <n v="0"/>
  </r>
  <r>
    <x v="2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  <n v="1512.2"/>
    <n v="265.7"/>
    <n v="246.3"/>
    <n v="235.8"/>
    <n v="884.80000000000007"/>
    <m/>
    <n v="0"/>
  </r>
  <r>
    <x v="0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  <n v="1504.7"/>
    <n v="266"/>
    <n v="250.6"/>
    <n v="242.7"/>
    <n v="776"/>
    <m/>
    <n v="0"/>
  </r>
  <r>
    <x v="1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  <n v="1493.1999999999998"/>
    <n v="263.2"/>
    <n v="242.60000000000002"/>
    <n v="232.6"/>
    <n v="871.2"/>
    <m/>
    <n v="0"/>
  </r>
  <r>
    <x v="2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  <n v="1498.7999999999997"/>
    <n v="264.89999999999998"/>
    <n v="247.5"/>
    <n v="237.2"/>
    <n v="888.89999999999986"/>
    <m/>
    <n v="0"/>
  </r>
  <r>
    <x v="0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  <n v="1505.7000000000003"/>
    <n v="266.10000000000002"/>
    <n v="251.7"/>
    <n v="244.3"/>
    <n v="779.80000000000018"/>
    <m/>
    <n v="0"/>
  </r>
  <r>
    <x v="1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  <n v="1499.8999999999999"/>
    <n v="263"/>
    <n v="242.6"/>
    <n v="234"/>
    <n v="875"/>
    <m/>
    <n v="0"/>
  </r>
  <r>
    <x v="2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  <n v="1501.7999999999997"/>
    <n v="265"/>
    <n v="248.2"/>
    <n v="238.7"/>
    <n v="893.2"/>
    <m/>
    <n v="0"/>
  </r>
  <r>
    <x v="0"/>
    <x v="3"/>
    <x v="11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  <n v="1497.8"/>
    <n v="266.79999999999995"/>
    <n v="252.6"/>
    <n v="245.10000000000002"/>
    <n v="781.50000000000011"/>
    <m/>
    <n v="0"/>
  </r>
  <r>
    <x v="1"/>
    <x v="3"/>
    <x v="11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  <n v="1488.2"/>
    <n v="267"/>
    <n v="243.39999999999998"/>
    <n v="235.10000000000002"/>
    <n v="877.49999999999989"/>
    <m/>
    <n v="0"/>
  </r>
  <r>
    <x v="2"/>
    <x v="3"/>
    <x v="11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  <n v="1492.8"/>
    <n v="267"/>
    <n v="249"/>
    <n v="239.7"/>
    <n v="895.40000000000009"/>
    <m/>
    <n v="0"/>
  </r>
  <r>
    <x v="0"/>
    <x v="3"/>
    <x v="12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  <n v="1481.1999999999998"/>
    <n v="267.89999999999998"/>
    <n v="251.6"/>
    <n v="245.89999999999998"/>
    <n v="785"/>
    <m/>
    <n v="0"/>
  </r>
  <r>
    <x v="1"/>
    <x v="3"/>
    <x v="12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  <n v="1461.8"/>
    <n v="268"/>
    <n v="242.2"/>
    <n v="235.5"/>
    <n v="879"/>
    <m/>
    <n v="0"/>
  </r>
  <r>
    <x v="2"/>
    <x v="3"/>
    <x v="12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  <n v="1472.6999999999998"/>
    <n v="268"/>
    <n v="248"/>
    <n v="240.2"/>
    <n v="897.7"/>
    <m/>
    <n v="0"/>
  </r>
  <r>
    <x v="0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  <n v="1468.7"/>
    <n v="268.60000000000002"/>
    <n v="252.2"/>
    <n v="246.1"/>
    <n v="786.5"/>
    <m/>
    <n v="0"/>
  </r>
  <r>
    <x v="1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  <n v="1447.5"/>
    <n v="265.7"/>
    <n v="243.5"/>
    <n v="237.2"/>
    <n v="883.4"/>
    <m/>
    <n v="0"/>
  </r>
  <r>
    <x v="2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  <n v="1459.6999999999998"/>
    <n v="267.60000000000002"/>
    <n v="248.8"/>
    <n v="241.2"/>
    <n v="901.3"/>
    <m/>
    <n v="0"/>
  </r>
  <r>
    <x v="0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  <n v="1468.0000000000002"/>
    <n v="266.5"/>
    <n v="253.3"/>
    <n v="247.2"/>
    <n v="789.6"/>
    <m/>
    <n v="0"/>
  </r>
  <r>
    <x v="1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  <n v="1442.5000000000002"/>
    <n v="262.8"/>
    <n v="244.60000000000002"/>
    <n v="237.7"/>
    <n v="887.39999999999986"/>
    <m/>
    <n v="0"/>
  </r>
  <r>
    <x v="2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  <n v="1457.2"/>
    <n v="265.10000000000002"/>
    <n v="250"/>
    <n v="242"/>
    <n v="905.3"/>
    <m/>
    <n v="0"/>
  </r>
  <r>
    <x v="0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  <n v="1462.5000000000002"/>
    <n v="266"/>
    <n v="253.89999999999998"/>
    <n v="248.10000000000002"/>
    <n v="792.5"/>
    <m/>
    <n v="0"/>
  </r>
  <r>
    <x v="1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  <n v="1442.3999999999999"/>
    <n v="263.3"/>
    <n v="244.8"/>
    <n v="238"/>
    <n v="891.90000000000009"/>
    <m/>
    <n v="0"/>
  </r>
  <r>
    <x v="2"/>
    <x v="3"/>
    <x v="3"/>
    <m/>
    <m/>
    <m/>
    <m/>
    <m/>
    <m/>
    <m/>
    <m/>
    <m/>
    <m/>
    <m/>
    <m/>
    <m/>
    <m/>
    <m/>
    <m/>
    <m/>
    <m/>
    <m/>
    <m/>
    <m/>
    <m/>
    <m/>
    <m/>
    <m/>
    <m/>
    <n v="127.3"/>
    <n v="0"/>
    <n v="0"/>
    <n v="0"/>
    <n v="0"/>
    <n v="127.3"/>
    <m/>
    <n v="0"/>
  </r>
  <r>
    <x v="2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  <n v="1454"/>
    <n v="264.89999999999998"/>
    <n v="250.39999999999998"/>
    <n v="242.6"/>
    <n v="909"/>
    <m/>
    <n v="0"/>
  </r>
  <r>
    <x v="0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  <n v="1461.5"/>
    <n v="264.79999999999995"/>
    <n v="254.7"/>
    <n v="247.5"/>
    <n v="793.3"/>
    <m/>
    <n v="0"/>
  </r>
  <r>
    <x v="1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  <n v="1447.3"/>
    <n v="260.8"/>
    <n v="245.60000000000002"/>
    <n v="236.89999999999998"/>
    <n v="893"/>
    <m/>
    <n v="0"/>
  </r>
  <r>
    <x v="2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  <n v="1455.1000000000001"/>
    <n v="263.29999999999995"/>
    <n v="251.2"/>
    <n v="241.7"/>
    <n v="910.10000000000014"/>
    <m/>
    <n v="0"/>
  </r>
  <r>
    <x v="0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  <n v="1462.4999999999998"/>
    <n v="265"/>
    <n v="255.10000000000002"/>
    <n v="248.8"/>
    <n v="796"/>
    <m/>
    <n v="0"/>
  </r>
  <r>
    <x v="1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  <n v="1447.2"/>
    <n v="262.39999999999998"/>
    <n v="245.6"/>
    <n v="237.1"/>
    <n v="893.2"/>
    <m/>
    <n v="0"/>
  </r>
  <r>
    <x v="2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  <n v="1455.6000000000001"/>
    <n v="264"/>
    <n v="251.4"/>
    <n v="242.4"/>
    <n v="911.99999999999989"/>
    <m/>
    <n v="0"/>
  </r>
  <r>
    <x v="0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  <n v="1472.2000000000003"/>
    <n v="266.60000000000002"/>
    <n v="255.4"/>
    <n v="249.20000000000002"/>
    <n v="797.2"/>
    <m/>
    <n v="0"/>
  </r>
  <r>
    <x v="1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  <n v="1465.4"/>
    <n v="265.60000000000002"/>
    <n v="246.3"/>
    <n v="236.8"/>
    <n v="892.3"/>
    <m/>
    <n v="0"/>
  </r>
  <r>
    <x v="2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  <n v="1468.5000000000002"/>
    <n v="266.2"/>
    <n v="251.9"/>
    <n v="242.4"/>
    <n v="911.9"/>
    <m/>
    <n v="0"/>
  </r>
  <r>
    <x v="0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  <n v="1504.1000000000001"/>
    <n v="268.8"/>
    <n v="256.5"/>
    <n v="249.7"/>
    <n v="802.7"/>
    <m/>
    <n v="0"/>
  </r>
  <r>
    <x v="1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  <n v="1501.0000000000002"/>
    <n v="267.10000000000002"/>
    <n v="247.4"/>
    <n v="236.7"/>
    <n v="898"/>
    <m/>
    <n v="0"/>
  </r>
  <r>
    <x v="2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  <n v="1501.3"/>
    <n v="268.10000000000002"/>
    <n v="253"/>
    <n v="242.6"/>
    <n v="918.19999999999982"/>
    <m/>
    <n v="0"/>
  </r>
  <r>
    <x v="0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  <n v="1523.0999999999997"/>
    <n v="269.39999999999998"/>
    <n v="258.39999999999998"/>
    <n v="251.8"/>
    <n v="810.5"/>
    <m/>
    <n v="0"/>
  </r>
  <r>
    <x v="1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  <n v="1506.4"/>
    <n v="266.60000000000002"/>
    <n v="249"/>
    <n v="238.7"/>
    <n v="904.2"/>
    <m/>
    <n v="0"/>
  </r>
  <r>
    <x v="2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  <n v="1515.5"/>
    <n v="268.3"/>
    <n v="254.7"/>
    <n v="244.6"/>
    <n v="926.3"/>
    <m/>
    <n v="0"/>
  </r>
  <r>
    <x v="0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  <n v="1513.6"/>
    <n v="270.7"/>
    <n v="260.10000000000002"/>
    <n v="253.5"/>
    <n v="814.20000000000016"/>
    <m/>
    <n v="0"/>
  </r>
  <r>
    <x v="1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  <n v="1481.3"/>
    <n v="268.39999999999998"/>
    <n v="250.5"/>
    <n v="240.2"/>
    <n v="910.6"/>
    <m/>
    <n v="0"/>
  </r>
  <r>
    <x v="2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  <n v="1500.1999999999998"/>
    <n v="269.79999999999995"/>
    <n v="256.3"/>
    <n v="246.2"/>
    <n v="931.8"/>
    <m/>
    <n v="0"/>
  </r>
  <r>
    <x v="0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  <n v="1518.4"/>
    <n v="272.5"/>
    <n v="261.60000000000002"/>
    <n v="254"/>
    <n v="817"/>
    <m/>
    <n v="0"/>
  </r>
  <r>
    <x v="1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  <n v="1495.2"/>
    <n v="270.5"/>
    <n v="251.2"/>
    <n v="239.8"/>
    <n v="915.8"/>
    <m/>
    <n v="0"/>
  </r>
  <r>
    <x v="2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  <n v="1507.8999999999999"/>
    <n v="271.79999999999995"/>
    <n v="257.5"/>
    <n v="246.2"/>
    <n v="936.3"/>
    <m/>
    <n v="0"/>
  </r>
  <r>
    <x v="0"/>
    <x v="4"/>
    <x v="11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  <n v="1535.7000000000003"/>
    <n v="282"/>
    <n v="263.89999999999998"/>
    <n v="255.29999999999998"/>
    <n v="825.90000000000009"/>
    <m/>
    <n v="0"/>
  </r>
  <r>
    <x v="1"/>
    <x v="4"/>
    <x v="11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  <n v="1510.5000000000002"/>
    <n v="286.2"/>
    <n v="252.3"/>
    <n v="240.39999999999998"/>
    <n v="924.3"/>
    <m/>
    <n v="0"/>
  </r>
  <r>
    <x v="2"/>
    <x v="4"/>
    <x v="11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  <n v="1524.5"/>
    <n v="283.70000000000005"/>
    <n v="259.39999999999998"/>
    <n v="247.2"/>
    <n v="945.8"/>
    <m/>
    <n v="0"/>
  </r>
  <r>
    <x v="0"/>
    <x v="4"/>
    <x v="12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  <n v="1526.9"/>
    <n v="286.70000000000005"/>
    <n v="263.89999999999998"/>
    <n v="255.4"/>
    <n v="829"/>
    <m/>
    <n v="0"/>
  </r>
  <r>
    <x v="1"/>
    <x v="4"/>
    <x v="12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  <n v="1482.1"/>
    <n v="285.39999999999998"/>
    <n v="252.79999999999998"/>
    <n v="240.89999999999998"/>
    <n v="926.7"/>
    <m/>
    <n v="0"/>
  </r>
  <r>
    <x v="2"/>
    <x v="4"/>
    <x v="12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  <n v="1508.8"/>
    <n v="286.2"/>
    <n v="259.60000000000002"/>
    <n v="247.5"/>
    <n v="948.89999999999986"/>
    <m/>
    <n v="0"/>
  </r>
  <r>
    <x v="0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  <n v="1514.9"/>
    <n v="285.8"/>
    <n v="264.60000000000002"/>
    <n v="257"/>
    <n v="830"/>
    <m/>
    <n v="0"/>
  </r>
  <r>
    <x v="1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  <n v="1465.1"/>
    <n v="283.2"/>
    <n v="254.5"/>
    <n v="242.5"/>
    <n v="931.1"/>
    <m/>
    <n v="0"/>
  </r>
  <r>
    <x v="2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  <n v="1495.1000000000001"/>
    <n v="284.79999999999995"/>
    <n v="260.60000000000002"/>
    <n v="249"/>
    <n v="951.9"/>
    <m/>
    <n v="0"/>
  </r>
  <r>
    <x v="0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  <n v="1499.4"/>
    <n v="282.10000000000002"/>
    <n v="265"/>
    <n v="257.60000000000002"/>
    <n v="829.9"/>
    <m/>
    <n v="0"/>
  </r>
  <r>
    <x v="1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  <n v="1448.1"/>
    <n v="279.8"/>
    <n v="256"/>
    <n v="243.9"/>
    <n v="935.7"/>
    <m/>
    <n v="0"/>
  </r>
  <r>
    <x v="2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  <n v="1479.1999999999996"/>
    <n v="281.20000000000005"/>
    <n v="261.5"/>
    <n v="250.10000000000002"/>
    <n v="954.30000000000007"/>
    <m/>
    <n v="0"/>
  </r>
  <r>
    <x v="0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  <n v="1500"/>
    <n v="282"/>
    <n v="266"/>
    <n v="259.7"/>
    <n v="834.2"/>
    <m/>
    <n v="0"/>
  </r>
  <r>
    <x v="1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  <n v="1440.1"/>
    <n v="275.39999999999998"/>
    <n v="257.2"/>
    <n v="244.6"/>
    <n v="937.80000000000007"/>
    <m/>
    <n v="0"/>
  </r>
  <r>
    <x v="2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  <n v="1476.5"/>
    <n v="279.5"/>
    <n v="262.5"/>
    <n v="251.4"/>
    <n v="958.2"/>
    <m/>
    <n v="0"/>
  </r>
  <r>
    <x v="0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  <n v="1501.7"/>
    <n v="278.3"/>
    <n v="268"/>
    <n v="261.3"/>
    <n v="839.4"/>
    <m/>
    <n v="0"/>
  </r>
  <r>
    <x v="1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  <n v="1448.9"/>
    <n v="271.10000000000002"/>
    <n v="258.89999999999998"/>
    <n v="246.5"/>
    <n v="940.39999999999986"/>
    <m/>
    <n v="0"/>
  </r>
  <r>
    <x v="2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  <n v="1481.6"/>
    <n v="275.5"/>
    <n v="264.39999999999998"/>
    <n v="253.20000000000002"/>
    <n v="963.19999999999993"/>
    <m/>
    <n v="0"/>
  </r>
  <r>
    <x v="0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  <n v="1504"/>
    <n v="278.39999999999998"/>
    <n v="269.60000000000002"/>
    <n v="263.20000000000005"/>
    <n v="844.40000000000009"/>
    <m/>
    <n v="0"/>
  </r>
  <r>
    <x v="1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  <n v="1451.7"/>
    <n v="271.2"/>
    <n v="260.10000000000002"/>
    <n v="247.8"/>
    <n v="944.8"/>
    <m/>
    <n v="0"/>
  </r>
  <r>
    <x v="2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  <n v="1484.1"/>
    <n v="275.7"/>
    <n v="265.89999999999998"/>
    <n v="254.70000000000002"/>
    <n v="968.2"/>
    <m/>
    <n v="0"/>
  </r>
  <r>
    <x v="0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  <n v="1510.3999999999999"/>
    <n v="279.89999999999998"/>
    <n v="269.8"/>
    <n v="265.20000000000005"/>
    <n v="848.1"/>
    <m/>
    <n v="0"/>
  </r>
  <r>
    <x v="1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  <n v="1472.6000000000001"/>
    <n v="274.70000000000005"/>
    <n v="260.79999999999995"/>
    <n v="248.9"/>
    <n v="949.2"/>
    <m/>
    <n v="0"/>
  </r>
  <r>
    <x v="2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  <n v="1496.2"/>
    <n v="277.89999999999998"/>
    <n v="266.29999999999995"/>
    <n v="256.3"/>
    <n v="971.6"/>
    <m/>
    <n v="0"/>
  </r>
  <r>
    <x v="0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  <n v="1527.8"/>
    <n v="282.70000000000005"/>
    <n v="270.39999999999998"/>
    <n v="265.89999999999998"/>
    <n v="851.3"/>
    <m/>
    <n v="0"/>
  </r>
  <r>
    <x v="1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  <n v="1491"/>
    <n v="280.10000000000002"/>
    <n v="261.79999999999995"/>
    <n v="249.1"/>
    <n v="954.5"/>
    <m/>
    <n v="0"/>
  </r>
  <r>
    <x v="2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  <n v="1513.6000000000001"/>
    <n v="281.7"/>
    <n v="267.10000000000002"/>
    <n v="256.7"/>
    <n v="976"/>
    <m/>
    <n v="0"/>
  </r>
  <r>
    <x v="0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  <n v="1536.2"/>
    <n v="282.60000000000002"/>
    <n v="270.70000000000005"/>
    <n v="266.89999999999998"/>
    <n v="855.30000000000007"/>
    <m/>
    <n v="0"/>
  </r>
  <r>
    <x v="1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  <n v="1489.8"/>
    <n v="277.79999999999995"/>
    <n v="263.20000000000005"/>
    <n v="250.5"/>
    <n v="960.6"/>
    <m/>
    <n v="0"/>
  </r>
  <r>
    <x v="2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  <n v="1518"/>
    <n v="280.7"/>
    <n v="267.79999999999995"/>
    <n v="257.89999999999998"/>
    <n v="981.39999999999986"/>
    <m/>
    <n v="0"/>
  </r>
  <r>
    <x v="0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  <n v="1519.5"/>
    <n v="280.29999999999995"/>
    <n v="272"/>
    <n v="269.89999999999998"/>
    <n v="860.1"/>
    <m/>
    <n v="0"/>
  </r>
  <r>
    <x v="1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  <n v="1474.1000000000001"/>
    <n v="274.3"/>
    <n v="265"/>
    <n v="252.7"/>
    <n v="967.2"/>
    <m/>
    <n v="0"/>
  </r>
  <r>
    <x v="2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1501.5"/>
    <n v="278"/>
    <n v="269.3"/>
    <n v="260.5"/>
    <n v="987.40000000000009"/>
    <m/>
    <n v="0"/>
  </r>
  <r>
    <x v="0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  <n v="1505.6999999999998"/>
    <n v="276.5"/>
    <n v="279.20000000000005"/>
    <n v="270.89999999999998"/>
    <n v="869.59999999999991"/>
    <m/>
    <n v="0"/>
  </r>
  <r>
    <x v="1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  <n v="1479.1"/>
    <n v="275"/>
    <n v="266.60000000000002"/>
    <n v="254"/>
    <n v="973.5"/>
    <m/>
    <n v="0"/>
  </r>
  <r>
    <x v="2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  <n v="1497"/>
    <n v="279.20000000000005"/>
    <n v="274.10000000000002"/>
    <n v="262"/>
    <n v="999.59999999999991"/>
    <m/>
    <n v="0"/>
  </r>
  <r>
    <x v="0"/>
    <x v="5"/>
    <x v="11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  <n v="1508.8999999999999"/>
    <n v="278.60000000000002"/>
    <n v="278.5"/>
    <n v="273.39999999999998"/>
    <n v="873"/>
    <m/>
    <n v="0"/>
  </r>
  <r>
    <x v="1"/>
    <x v="5"/>
    <x v="11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  <n v="1478.1"/>
    <n v="279.39999999999998"/>
    <n v="267.3"/>
    <n v="252.5"/>
    <n v="976.2"/>
    <m/>
    <n v="0"/>
  </r>
  <r>
    <x v="2"/>
    <x v="5"/>
    <x v="11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  <n v="1496.8000000000002"/>
    <n v="278.89999999999998"/>
    <n v="274.10000000000002"/>
    <n v="262"/>
    <n v="999.39999999999986"/>
    <m/>
    <n v="0"/>
  </r>
  <r>
    <x v="0"/>
    <x v="5"/>
    <x v="12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  <n v="1493.3"/>
    <n v="279.8"/>
    <n v="282.79999999999995"/>
    <n v="272.20000000000005"/>
    <n v="873.3"/>
    <m/>
    <n v="0"/>
  </r>
  <r>
    <x v="1"/>
    <x v="5"/>
    <x v="12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  <n v="1463.8999999999999"/>
    <n v="282.7"/>
    <n v="268.10000000000002"/>
    <n v="250.5"/>
    <n v="968.2"/>
    <m/>
    <n v="0"/>
  </r>
  <r>
    <x v="2"/>
    <x v="5"/>
    <x v="12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  <n v="1481.8999999999996"/>
    <n v="280.89999999999998"/>
    <n v="277.10000000000002"/>
    <n v="260.39999999999998"/>
    <n v="995.9"/>
    <m/>
    <n v="0"/>
  </r>
  <r>
    <x v="0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  <n v="1479"/>
    <n v="280.60000000000002"/>
    <n v="283.10000000000002"/>
    <n v="271.5"/>
    <n v="870.3"/>
    <m/>
    <n v="0"/>
  </r>
  <r>
    <x v="1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  <n v="1459.1"/>
    <n v="285.2"/>
    <n v="269.5"/>
    <n v="250.5"/>
    <n v="965.7"/>
    <m/>
    <n v="0"/>
  </r>
  <r>
    <x v="2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  <n v="1471.1"/>
    <n v="282.29999999999995"/>
    <n v="277.89999999999998"/>
    <n v="260"/>
    <n v="993.8"/>
    <m/>
    <n v="0"/>
  </r>
  <r>
    <x v="0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  <n v="1478.2000000000003"/>
    <n v="281.60000000000002"/>
    <n v="284.8"/>
    <n v="272.60000000000002"/>
    <n v="870.60000000000014"/>
    <m/>
    <n v="0"/>
  </r>
  <r>
    <x v="1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  <n v="1467.3999999999999"/>
    <n v="287"/>
    <n v="271.5"/>
    <n v="251.39999999999998"/>
    <n v="967.30000000000007"/>
    <m/>
    <n v="0"/>
  </r>
  <r>
    <x v="2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  <n v="1473.4"/>
    <n v="283.7"/>
    <n v="279.7"/>
    <n v="261"/>
    <n v="995.19999999999993"/>
    <m/>
    <n v="0"/>
  </r>
  <r>
    <x v="0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  <n v="1480.0000000000002"/>
    <n v="281.2"/>
    <n v="284.39999999999998"/>
    <n v="273.70000000000005"/>
    <n v="872.8"/>
    <m/>
    <n v="0"/>
  </r>
  <r>
    <x v="1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  <n v="1483.6"/>
    <n v="284.8"/>
    <n v="271.7"/>
    <n v="252.9"/>
    <n v="972.10000000000014"/>
    <m/>
    <n v="0"/>
  </r>
  <r>
    <x v="2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1480.3"/>
    <n v="282.60000000000002"/>
    <n v="279.60000000000002"/>
    <n v="262.29999999999995"/>
    <n v="998.69999999999993"/>
    <m/>
    <n v="0"/>
  </r>
  <r>
    <x v="0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  <n v="1505"/>
    <n v="277.10000000000002"/>
    <n v="285.20000000000005"/>
    <n v="276.10000000000002"/>
    <n v="875.2"/>
    <m/>
    <n v="0"/>
  </r>
  <r>
    <x v="1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  <n v="1530.8000000000002"/>
    <n v="280.70000000000005"/>
    <n v="272.39999999999998"/>
    <n v="254.1"/>
    <n v="977.8"/>
    <m/>
    <n v="0"/>
  </r>
  <r>
    <x v="2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  <n v="1513.4"/>
    <n v="278.5"/>
    <n v="280.3"/>
    <n v="264.10000000000002"/>
    <n v="1003.3"/>
    <m/>
    <n v="0"/>
  </r>
  <r>
    <x v="0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  <n v="1524.8"/>
    <n v="279.39999999999998"/>
    <n v="286.5"/>
    <n v="276.60000000000002"/>
    <n v="878.69999999999993"/>
    <m/>
    <n v="0"/>
  </r>
  <r>
    <x v="1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  <n v="1549.4999999999995"/>
    <n v="283.8"/>
    <n v="274"/>
    <n v="253.9"/>
    <n v="979.30000000000007"/>
    <m/>
    <n v="0"/>
  </r>
  <r>
    <x v="2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  <n v="1533"/>
    <n v="281.10000000000002"/>
    <n v="281.70000000000005"/>
    <n v="264.2"/>
    <n v="1005.4"/>
    <m/>
    <n v="0"/>
  </r>
  <r>
    <x v="0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  <n v="1544.6"/>
    <n v="282.3"/>
    <n v="288.29999999999995"/>
    <n v="278.7"/>
    <n v="881.6"/>
    <m/>
    <n v="0"/>
  </r>
  <r>
    <x v="1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  <n v="1570.8"/>
    <n v="286.60000000000002"/>
    <n v="275.89999999999998"/>
    <n v="255.6"/>
    <n v="980.90000000000009"/>
    <m/>
    <n v="0"/>
  </r>
  <r>
    <x v="2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  <n v="1553.5"/>
    <n v="284"/>
    <n v="283.60000000000002"/>
    <n v="266.10000000000002"/>
    <n v="1008.5999999999999"/>
    <m/>
    <n v="0"/>
  </r>
  <r>
    <x v="0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  <n v="1552.8000000000002"/>
    <n v="281.7"/>
    <n v="291.5"/>
    <n v="279.39999999999998"/>
    <n v="883.7"/>
    <m/>
    <n v="0"/>
  </r>
  <r>
    <x v="1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  <n v="1583.3999999999999"/>
    <n v="285.70000000000005"/>
    <n v="279.3"/>
    <n v="256.2"/>
    <n v="983.40000000000009"/>
    <m/>
    <n v="0"/>
  </r>
  <r>
    <x v="2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  <n v="1563.3"/>
    <n v="283.2"/>
    <n v="286.89999999999998"/>
    <n v="266.7"/>
    <n v="1011.3999999999999"/>
    <m/>
    <n v="0"/>
  </r>
  <r>
    <x v="0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  <n v="1564.7"/>
    <n v="284"/>
    <n v="293.60000000000002"/>
    <n v="279.89999999999998"/>
    <n v="886.59999999999991"/>
    <m/>
    <n v="0"/>
  </r>
  <r>
    <x v="1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  <n v="1588.4"/>
    <n v="286.5"/>
    <n v="280.89999999999998"/>
    <n v="257.10000000000002"/>
    <n v="987.30000000000018"/>
    <m/>
    <n v="0"/>
  </r>
  <r>
    <x v="2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1572.7"/>
    <n v="285"/>
    <n v="288.7"/>
    <n v="267.39999999999998"/>
    <n v="1015.0999999999999"/>
    <m/>
    <n v="0"/>
  </r>
  <r>
    <x v="0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  <n v="1589.2"/>
    <n v="287.7"/>
    <n v="294"/>
    <n v="280.39999999999998"/>
    <n v="890.3"/>
    <m/>
    <n v="0"/>
  </r>
  <r>
    <x v="1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  <n v="1612.3000000000002"/>
    <n v="290.29999999999995"/>
    <n v="281.89999999999998"/>
    <n v="257.7"/>
    <n v="993.40000000000009"/>
    <m/>
    <n v="0"/>
  </r>
  <r>
    <x v="2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  <n v="1596.7999999999997"/>
    <n v="288.79999999999995"/>
    <n v="289.39999999999998"/>
    <n v="268"/>
    <n v="1020.2"/>
    <m/>
    <n v="0"/>
  </r>
  <r>
    <x v="0"/>
    <x v="6"/>
    <x v="11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  <n v="1613.7"/>
    <n v="290.89999999999998"/>
    <n v="294.89999999999998"/>
    <n v="281.2"/>
    <n v="894.6"/>
    <m/>
    <n v="0"/>
  </r>
  <r>
    <x v="1"/>
    <x v="6"/>
    <x v="11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  <n v="1629.6999999999998"/>
    <n v="294.3"/>
    <n v="282.60000000000002"/>
    <n v="258.39999999999998"/>
    <n v="999.7"/>
    <m/>
    <n v="0"/>
  </r>
  <r>
    <x v="2"/>
    <x v="6"/>
    <x v="11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  <n v="1618.6000000000001"/>
    <n v="292.29999999999995"/>
    <n v="290.20000000000005"/>
    <n v="268.7"/>
    <n v="1025.5"/>
    <m/>
    <n v="0"/>
  </r>
  <r>
    <x v="0"/>
    <x v="6"/>
    <x v="12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  <n v="1642.7999999999997"/>
    <n v="298.2"/>
    <n v="295.39999999999998"/>
    <n v="284.5"/>
    <n v="903.30000000000018"/>
    <m/>
    <n v="0"/>
  </r>
  <r>
    <x v="1"/>
    <x v="6"/>
    <x v="12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  <n v="1655.5"/>
    <n v="301.2"/>
    <n v="283.39999999999998"/>
    <n v="262"/>
    <n v="1007.8000000000002"/>
    <m/>
    <n v="0"/>
  </r>
  <r>
    <x v="2"/>
    <x v="6"/>
    <x v="12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1646.7"/>
    <n v="299.39999999999998"/>
    <n v="290.8"/>
    <n v="272.10000000000002"/>
    <n v="1033.5"/>
    <m/>
    <n v="0"/>
  </r>
  <r>
    <x v="0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  <n v="1634.6000000000001"/>
    <n v="304"/>
    <n v="298.2"/>
    <n v="286.39999999999998"/>
    <n v="907"/>
    <m/>
    <n v="0"/>
  </r>
  <r>
    <x v="1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  <n v="1639.1000000000001"/>
    <n v="306.3"/>
    <n v="285.89999999999998"/>
    <n v="263.29999999999995"/>
    <n v="1012.6000000000001"/>
    <m/>
    <n v="0"/>
  </r>
  <r>
    <x v="2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  <n v="1635.3999999999999"/>
    <n v="305"/>
    <n v="293.5"/>
    <n v="273.70000000000005"/>
    <n v="1038.4000000000001"/>
    <m/>
    <n v="0"/>
  </r>
  <r>
    <x v="0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  <n v="1608"/>
    <n v="301.8"/>
    <n v="299.60000000000002"/>
    <n v="286.39999999999998"/>
    <n v="908.3"/>
    <m/>
    <n v="0"/>
  </r>
  <r>
    <x v="1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  <n v="1612.8000000000002"/>
    <n v="303.79999999999995"/>
    <n v="287.89999999999998"/>
    <n v="262.89999999999998"/>
    <n v="1017.4000000000001"/>
    <m/>
    <n v="0"/>
  </r>
  <r>
    <x v="2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1609"/>
    <n v="302.60000000000002"/>
    <n v="295.10000000000002"/>
    <n v="273.5"/>
    <n v="1041.5"/>
    <m/>
    <n v="0"/>
  </r>
  <r>
    <x v="0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  <n v="1595.3"/>
    <n v="299.29999999999995"/>
    <n v="301.79999999999995"/>
    <n v="287"/>
    <n v="909.60000000000014"/>
    <m/>
    <n v="0"/>
  </r>
  <r>
    <x v="1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  <n v="1598.5"/>
    <n v="300"/>
    <n v="290.3"/>
    <n v="262.5"/>
    <n v="1020.5999999999999"/>
    <m/>
    <n v="0"/>
  </r>
  <r>
    <x v="2"/>
    <x v="6"/>
    <x v="3"/>
    <m/>
    <m/>
    <m/>
    <m/>
    <m/>
    <m/>
    <m/>
    <m/>
    <m/>
    <m/>
    <m/>
    <m/>
    <m/>
    <m/>
    <m/>
    <m/>
    <m/>
    <m/>
    <m/>
    <m/>
    <m/>
    <m/>
    <m/>
    <m/>
    <m/>
    <m/>
    <n v="150.69999999999999"/>
    <n v="0"/>
    <n v="0"/>
    <n v="0"/>
    <n v="0"/>
    <n v="150.69999999999999"/>
    <m/>
    <n v="0"/>
  </r>
  <r>
    <x v="2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  <n v="1595.8"/>
    <n v="299.60000000000002"/>
    <n v="297.5"/>
    <n v="273.60000000000002"/>
    <n v="1043.3"/>
    <m/>
    <n v="0"/>
  </r>
  <r>
    <x v="0"/>
    <x v="7"/>
    <x v="3"/>
    <n v="147.19999999999999"/>
    <s v="NA"/>
    <n v="146.9"/>
    <n v="155.6"/>
    <n v="137.1"/>
    <n v="147.30000000000001"/>
    <n v="162.69999999999999"/>
    <n v="150.19999999999999"/>
    <n v="119.8"/>
    <n v="158.69999999999999"/>
    <n v="139.19999999999999"/>
    <s v="NA"/>
    <n v="150.1"/>
    <s v="NA"/>
    <s v="NA"/>
    <s v="NA"/>
    <s v="NA"/>
    <s v="NA"/>
    <n v="148.4"/>
    <s v="NA"/>
    <n v="154.30000000000001"/>
    <s v="NA"/>
    <s v="NA"/>
    <s v="NA"/>
    <s v="NA"/>
    <s v="NA"/>
    <s v="NA"/>
    <n v="1312.3"/>
    <n v="302.5"/>
    <n v="154.30000000000001"/>
    <n v="0"/>
    <n v="148.4"/>
    <m/>
    <n v="0"/>
  </r>
  <r>
    <x v="1"/>
    <x v="7"/>
    <x v="3"/>
    <n v="151.80000000000001"/>
    <s v="NA"/>
    <n v="151.9"/>
    <n v="155.5"/>
    <n v="131.6"/>
    <n v="152.9"/>
    <n v="180"/>
    <n v="150.80000000000001"/>
    <n v="121.2"/>
    <n v="154"/>
    <n v="133.5"/>
    <s v="NA"/>
    <n v="153.5"/>
    <s v="NA"/>
    <s v="NA"/>
    <s v="NA"/>
    <s v="NA"/>
    <n v="155.6"/>
    <n v="137.1"/>
    <s v="NA"/>
    <n v="144.80000000000001"/>
    <s v="NA"/>
    <s v="NA"/>
    <s v="NA"/>
    <s v="NA"/>
    <s v="NA"/>
    <s v="NA"/>
    <n v="1329.3"/>
    <n v="307.39999999999998"/>
    <n v="144.80000000000001"/>
    <n v="0"/>
    <n v="292.7"/>
    <m/>
    <n v="0"/>
  </r>
  <r>
    <x v="2"/>
    <x v="7"/>
    <x v="3"/>
    <n v="148.69999999999999"/>
    <s v="NA"/>
    <n v="148.80000000000001"/>
    <n v="155.6"/>
    <n v="135.1"/>
    <n v="149.9"/>
    <n v="168.6"/>
    <n v="150.4"/>
    <n v="120.3"/>
    <n v="157.1"/>
    <n v="136.80000000000001"/>
    <s v="NA"/>
    <n v="151.4"/>
    <s v="NA"/>
    <s v="NA"/>
    <s v="NA"/>
    <s v="NA"/>
    <n v="155.6"/>
    <n v="144.1"/>
    <s v="NA"/>
    <n v="150.69999999999999"/>
    <s v="NA"/>
    <s v="NA"/>
    <s v="NA"/>
    <s v="NA"/>
    <s v="NA"/>
    <n v="150.69999999999999"/>
    <n v="1318.3"/>
    <n v="304.39999999999998"/>
    <n v="150.69999999999999"/>
    <n v="0"/>
    <n v="450.4"/>
    <m/>
    <n v="0"/>
  </r>
  <r>
    <x v="0"/>
    <x v="7"/>
    <x v="4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"/>
    <n v="0"/>
    <n v="0"/>
    <n v="0"/>
    <n v="0"/>
    <m/>
    <n v="0"/>
  </r>
  <r>
    <x v="1"/>
    <x v="7"/>
    <x v="4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"/>
    <n v="0"/>
    <n v="0"/>
    <n v="0"/>
    <n v="0"/>
    <m/>
    <n v="0"/>
  </r>
  <r>
    <x v="2"/>
    <x v="7"/>
    <x v="4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"/>
    <n v="0"/>
    <n v="0"/>
    <n v="0"/>
    <n v="0"/>
    <m/>
    <n v="0"/>
  </r>
  <r>
    <x v="0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  <n v="1648.2999999999997"/>
    <n v="302.70000000000005"/>
    <n v="309.39999999999998"/>
    <n v="294.60000000000002"/>
    <n v="924.8"/>
    <m/>
    <n v="0"/>
  </r>
  <r>
    <x v="1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687"/>
    <n v="308"/>
    <n v="300.29999999999995"/>
    <n v="273.8"/>
    <n v="1041"/>
    <m/>
    <n v="0"/>
  </r>
  <r>
    <x v="2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662.1"/>
    <n v="304.70000000000005"/>
    <n v="306"/>
    <n v="283.3"/>
    <n v="1060.3"/>
    <m/>
    <n v="0"/>
  </r>
  <r>
    <x v="0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  <n v="1648.2999999999997"/>
    <n v="302.70000000000005"/>
    <n v="309.39999999999998"/>
    <n v="294.60000000000002"/>
    <n v="924.8"/>
    <m/>
    <n v="0"/>
  </r>
  <r>
    <x v="1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687"/>
    <n v="308"/>
    <n v="300.29999999999995"/>
    <n v="273.8"/>
    <n v="1041"/>
    <m/>
    <n v="0"/>
  </r>
  <r>
    <x v="2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662.1"/>
    <n v="304.70000000000005"/>
    <n v="306"/>
    <n v="283.3"/>
    <n v="1060.3"/>
    <m/>
    <n v="0"/>
  </r>
  <r>
    <x v="0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  <n v="1676.8999999999999"/>
    <n v="301.70000000000005"/>
    <n v="312.39999999999998"/>
    <n v="295.79999999999995"/>
    <n v="929.90000000000009"/>
    <m/>
    <n v="0"/>
  </r>
  <r>
    <x v="1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  <n v="1717"/>
    <n v="307.89999999999998"/>
    <n v="303.89999999999998"/>
    <n v="275.10000000000002"/>
    <n v="1057.1000000000001"/>
    <m/>
    <n v="0"/>
  </r>
  <r>
    <x v="2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  <n v="1691.1"/>
    <n v="304.10000000000002"/>
    <n v="309.3"/>
    <n v="284.5"/>
    <n v="1070.9000000000001"/>
    <m/>
    <n v="0"/>
  </r>
  <r>
    <x v="0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  <n v="1684.4999999999998"/>
    <n v="302.89999999999998"/>
    <n v="316.5"/>
    <n v="297.39999999999998"/>
    <n v="934.6"/>
    <m/>
    <n v="0"/>
  </r>
  <r>
    <x v="1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  <n v="1730.4000000000003"/>
    <n v="311.20000000000005"/>
    <n v="309.8"/>
    <n v="276.89999999999998"/>
    <n v="1062.7"/>
    <m/>
    <n v="0"/>
  </r>
  <r>
    <x v="2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  <n v="1700.9"/>
    <n v="306.10000000000002"/>
    <n v="314"/>
    <n v="286.2"/>
    <n v="1076.5999999999999"/>
    <m/>
    <n v="0"/>
  </r>
  <r>
    <x v="0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  <n v="1718.1000000000001"/>
    <n v="312.79999999999995"/>
    <n v="315.7"/>
    <n v="298.8"/>
    <n v="939.7"/>
    <m/>
    <n v="0"/>
  </r>
  <r>
    <x v="1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  <n v="1761.6999999999998"/>
    <n v="318.5"/>
    <n v="309.10000000000002"/>
    <n v="277.39999999999998"/>
    <n v="1064.2"/>
    <m/>
    <n v="0"/>
  </r>
  <r>
    <x v="2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  <n v="1733.6000000000001"/>
    <n v="315"/>
    <n v="313.3"/>
    <n v="287.10000000000002"/>
    <n v="1080"/>
    <m/>
    <n v="0"/>
  </r>
  <r>
    <x v="0"/>
    <x v="7"/>
    <x v="11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  <n v="1757"/>
    <n v="325.39999999999998"/>
    <n v="316.60000000000002"/>
    <n v="299.7"/>
    <n v="944.09999999999991"/>
    <m/>
    <n v="0"/>
  </r>
  <r>
    <x v="1"/>
    <x v="7"/>
    <x v="11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  <n v="1789.9"/>
    <n v="330.8"/>
    <n v="309.89999999999998"/>
    <n v="279.60000000000002"/>
    <n v="1067.7"/>
    <m/>
    <n v="0"/>
  </r>
  <r>
    <x v="2"/>
    <x v="7"/>
    <x v="11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  <n v="1768.2"/>
    <n v="327.39999999999998"/>
    <n v="314.10000000000002"/>
    <n v="288.8"/>
    <n v="1085.0999999999999"/>
    <m/>
    <n v="0"/>
  </r>
  <r>
    <x v="0"/>
    <x v="7"/>
    <x v="12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  <n v="1773.1000000000001"/>
    <n v="327.39999999999998"/>
    <n v="318.2"/>
    <n v="300.3"/>
    <n v="948"/>
    <m/>
    <n v="0"/>
  </r>
  <r>
    <x v="1"/>
    <x v="7"/>
    <x v="12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  <n v="1792.8999999999999"/>
    <n v="332.5"/>
    <n v="310.8"/>
    <n v="279.8"/>
    <n v="1071.3"/>
    <m/>
    <n v="0"/>
  </r>
  <r>
    <x v="2"/>
    <x v="7"/>
    <x v="12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  <n v="1779.7"/>
    <n v="329.4"/>
    <n v="315.39999999999998"/>
    <n v="289.2"/>
    <n v="1088.9000000000001"/>
    <m/>
    <n v="0"/>
  </r>
  <r>
    <x v="0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  <n v="1738.2999999999997"/>
    <n v="327.39999999999998"/>
    <n v="318.7"/>
    <n v="302.60000000000002"/>
    <n v="951.3"/>
    <m/>
    <n v="0"/>
  </r>
  <r>
    <x v="1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  <n v="1764.2000000000003"/>
    <n v="332.8"/>
    <n v="311.79999999999995"/>
    <n v="282.3"/>
    <n v="1078.5999999999999"/>
    <m/>
    <n v="0"/>
  </r>
  <r>
    <x v="2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1747.1"/>
    <n v="329.4"/>
    <n v="316.10000000000002"/>
    <n v="291.5"/>
    <n v="1093.2"/>
    <m/>
    <n v="0"/>
  </r>
  <r>
    <x v="0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  <n v="1702.8999999999999"/>
    <n v="322.39999999999998"/>
    <n v="319.5"/>
    <n v="307.2"/>
    <n v="959.8"/>
    <m/>
    <n v="0"/>
  </r>
  <r>
    <x v="1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  <n v="1741"/>
    <n v="325"/>
    <n v="313"/>
    <n v="287.8"/>
    <n v="1095"/>
    <m/>
    <n v="0"/>
  </r>
  <r>
    <x v="2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  <n v="1715.9"/>
    <n v="323.39999999999998"/>
    <n v="317.10000000000002"/>
    <n v="296.60000000000002"/>
    <n v="1106.5"/>
    <m/>
    <n v="0"/>
  </r>
  <r>
    <x v="0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  <n v="1708"/>
    <n v="317.7"/>
    <n v="317.7"/>
    <n v="309.10000000000002"/>
    <n v="962.2"/>
    <m/>
    <n v="0"/>
  </r>
  <r>
    <x v="1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  <n v="1744.2"/>
    <n v="320.29999999999995"/>
    <n v="311.8"/>
    <n v="290.29999999999995"/>
    <n v="1104"/>
    <m/>
    <n v="0"/>
  </r>
  <r>
    <x v="2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1720.6999999999998"/>
    <n v="318.70000000000005"/>
    <n v="315.5"/>
    <n v="298.79999999999995"/>
    <n v="1111.5"/>
    <m/>
    <n v="0"/>
  </r>
  <r>
    <x v="0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  <n v="1731.1000000000001"/>
    <n v="318.39999999999998"/>
    <n v="319.89999999999998"/>
    <n v="310.29999999999995"/>
    <n v="965.6"/>
    <m/>
    <n v="0"/>
  </r>
  <r>
    <x v="1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  <n v="1767.2"/>
    <n v="322.39999999999998"/>
    <n v="314.10000000000002"/>
    <n v="291.2"/>
    <n v="1108.9000000000001"/>
    <m/>
    <n v="0"/>
  </r>
  <r>
    <x v="2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  <n v="1744.1"/>
    <n v="320"/>
    <n v="317.70000000000005"/>
    <n v="299.79999999999995"/>
    <n v="1116.4000000000001"/>
    <m/>
    <n v="0"/>
  </r>
  <r>
    <x v="0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  <n v="1770.8999999999999"/>
    <n v="324.39999999999998"/>
    <n v="328.4"/>
    <n v="313.2"/>
    <n v="985.5"/>
    <m/>
    <n v="0"/>
  </r>
  <r>
    <x v="1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  <n v="1795.2000000000003"/>
    <n v="329.5"/>
    <n v="317.89999999999998"/>
    <n v="297.60000000000002"/>
    <n v="1122.2"/>
    <m/>
    <n v="0"/>
  </r>
  <r>
    <x v="2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  <n v="1779.3000000000002"/>
    <n v="326.39999999999998"/>
    <n v="324.39999999999998"/>
    <n v="304.70000000000005"/>
    <n v="1133.7"/>
    <m/>
    <n v="0"/>
  </r>
  <r>
    <x v="0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  <n v="1787.2"/>
    <n v="335.4"/>
    <n v="329.1"/>
    <n v="314.60000000000002"/>
    <n v="988.19999999999993"/>
    <m/>
    <n v="0"/>
  </r>
  <r>
    <x v="1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  <n v="1814.8999999999999"/>
    <n v="339.3"/>
    <n v="318.8"/>
    <n v="298.2"/>
    <n v="1123.3"/>
    <m/>
    <n v="0"/>
  </r>
  <r>
    <x v="2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1797"/>
    <n v="336.9"/>
    <n v="325.10000000000002"/>
    <n v="305.60000000000002"/>
    <n v="1135.5000000000002"/>
    <m/>
    <n v="0"/>
  </r>
  <r>
    <x v="0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  <n v="1794.9"/>
    <n v="337.5"/>
    <n v="330.8"/>
    <n v="317.79999999999995"/>
    <n v="995.60000000000014"/>
    <m/>
    <n v="0"/>
  </r>
  <r>
    <x v="1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  <n v="1828.6000000000001"/>
    <n v="343.2"/>
    <n v="321.10000000000002"/>
    <n v="300.7"/>
    <n v="1131.7"/>
    <m/>
    <n v="0"/>
  </r>
  <r>
    <x v="2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  <n v="1807.3000000000002"/>
    <n v="339.7"/>
    <n v="327.10000000000002"/>
    <n v="308.39999999999998"/>
    <n v="1143.8000000000002"/>
    <m/>
    <n v="0"/>
  </r>
  <r>
    <x v="0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  <n v="1796.8"/>
    <n v="334"/>
    <n v="331.4"/>
    <n v="318.79999999999995"/>
    <n v="998.79999999999984"/>
    <m/>
    <n v="0"/>
  </r>
  <r>
    <x v="1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  <n v="1824.6"/>
    <n v="333.29999999999995"/>
    <n v="322.39999999999998"/>
    <n v="304.10000000000002"/>
    <n v="1141.2"/>
    <m/>
    <n v="0"/>
  </r>
  <r>
    <x v="2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  <n v="1810.8000000000002"/>
    <n v="331.20000000000005"/>
    <n v="328.4"/>
    <n v="311.60000000000002"/>
    <n v="1151.5"/>
    <m/>
    <n v="0"/>
  </r>
  <r>
    <x v="0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  <n v="1803.5999999999997"/>
    <n v="330"/>
    <n v="332.1"/>
    <n v="320.5"/>
    <n v="1001.0999999999999"/>
    <m/>
    <n v="0"/>
  </r>
  <r>
    <x v="1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  <n v="1824.7"/>
    <n v="333.2"/>
    <n v="322.39999999999998"/>
    <n v="304.39999999999998"/>
    <n v="1141.5"/>
    <m/>
    <n v="0"/>
  </r>
  <r>
    <x v="2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  <n v="1810.8"/>
    <n v="331.20000000000005"/>
    <n v="328.4"/>
    <n v="311.7"/>
    <n v="1151.5"/>
    <m/>
    <n v="0"/>
  </r>
  <r>
    <x v="0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  <n v="1835.6999999999998"/>
    <n v="328.5"/>
    <n v="333.6"/>
    <n v="322.7"/>
    <n v="1009.2"/>
    <m/>
    <n v="0"/>
  </r>
  <r>
    <x v="1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  <n v="1866.2000000000003"/>
    <n v="332.2"/>
    <n v="323.8"/>
    <n v="307.29999999999995"/>
    <n v="1150.8999999999999"/>
    <m/>
    <n v="0"/>
  </r>
  <r>
    <x v="2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  <n v="1845.6000000000001"/>
    <n v="329.9"/>
    <n v="329.9"/>
    <n v="314.29999999999995"/>
    <n v="1161.0999999999999"/>
    <m/>
    <n v="0"/>
  </r>
  <r>
    <x v="0"/>
    <x v="8"/>
    <x v="11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  <n v="1851.3999999999996"/>
    <n v="330.6"/>
    <n v="335.8"/>
    <n v="322.70000000000005"/>
    <n v="1011.3000000000001"/>
    <m/>
    <n v="0"/>
  </r>
  <r>
    <x v="1"/>
    <x v="8"/>
    <x v="11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  <n v="1882.8999999999999"/>
    <n v="335"/>
    <n v="326"/>
    <n v="307.89999999999998"/>
    <n v="1152.0999999999999"/>
    <m/>
    <n v="0"/>
  </r>
  <r>
    <x v="2"/>
    <x v="8"/>
    <x v="11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  <n v="1861.8"/>
    <n v="332.3"/>
    <n v="332.1"/>
    <n v="314.60000000000002"/>
    <n v="1163.1999999999998"/>
    <m/>
    <n v="0"/>
  </r>
  <r>
    <x v="0"/>
    <x v="8"/>
    <x v="12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  <n v="1831.8999999999999"/>
    <n v="336.3"/>
    <n v="336.8"/>
    <n v="324.60000000000002"/>
    <n v="1013.4"/>
    <m/>
    <n v="0"/>
  </r>
  <r>
    <x v="1"/>
    <x v="8"/>
    <x v="12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  <n v="1866.3000000000002"/>
    <n v="340"/>
    <n v="327.5"/>
    <n v="309.39999999999998"/>
    <n v="1152.7"/>
    <m/>
    <n v="0"/>
  </r>
  <r>
    <x v="2"/>
    <x v="8"/>
    <x v="12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  <n v="1843.1000000000001"/>
    <n v="337.8"/>
    <n v="333.2"/>
    <n v="316.29999999999995"/>
    <n v="1164"/>
    <m/>
    <n v="0"/>
  </r>
  <r>
    <x v="0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  <n v="1814.4999999999998"/>
    <n v="338.5"/>
    <n v="337.9"/>
    <n v="325.70000000000005"/>
    <n v="1015.2"/>
    <m/>
    <n v="0"/>
  </r>
  <r>
    <x v="1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  <n v="1846.1999999999998"/>
    <n v="340.5"/>
    <n v="328.9"/>
    <n v="311.10000000000002"/>
    <n v="1155.5999999999999"/>
    <m/>
    <n v="0"/>
  </r>
  <r>
    <x v="2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  <n v="1824.8999999999999"/>
    <n v="339.3"/>
    <n v="334.4"/>
    <n v="317.7"/>
    <n v="1166.9000000000001"/>
    <m/>
    <n v="0"/>
  </r>
  <r>
    <x v="0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  <n v="1814.2"/>
    <n v="336.2"/>
    <n v="339.8"/>
    <n v="326.7"/>
    <n v="1019.8"/>
    <m/>
    <n v="0"/>
  </r>
  <r>
    <x v="1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  <n v="1846.5"/>
    <n v="337"/>
    <n v="331.4"/>
    <n v="312.60000000000002"/>
    <n v="1160.4000000000001"/>
    <m/>
    <n v="0"/>
  </r>
  <r>
    <x v="2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  <n v="1824.7000000000003"/>
    <n v="336.5"/>
    <n v="336.6"/>
    <n v="319"/>
    <n v="1172.3"/>
    <m/>
    <n v="0"/>
  </r>
  <r>
    <x v="0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  <n v="1849.2"/>
    <n v="329.9"/>
    <n v="343.4"/>
    <n v="328.6"/>
    <n v="1026.7"/>
    <m/>
    <n v="0"/>
  </r>
  <r>
    <x v="1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  <n v="1866"/>
    <n v="330.29999999999995"/>
    <n v="335"/>
    <n v="315"/>
    <n v="1167.1999999999998"/>
    <m/>
    <n v="0"/>
  </r>
  <r>
    <x v="2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  <n v="1854.2"/>
    <n v="330"/>
    <n v="340.2"/>
    <n v="321.20000000000005"/>
    <n v="1179.2"/>
    <m/>
    <n v="0"/>
  </r>
  <r>
    <x v="0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  <n v="1878.3000000000002"/>
    <n v="328.3"/>
    <n v="346"/>
    <n v="333.4"/>
    <n v="1041"/>
    <m/>
    <n v="0"/>
  </r>
  <r>
    <x v="1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  <n v="1901.6"/>
    <n v="328.79999999999995"/>
    <n v="337.4"/>
    <n v="321.5"/>
    <n v="1186"/>
    <m/>
    <n v="0"/>
  </r>
  <r>
    <x v="2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  <n v="1885.9"/>
    <n v="328.4"/>
    <n v="342.8"/>
    <n v="327"/>
    <n v="1196.5999999999999"/>
    <m/>
    <n v="0"/>
  </r>
  <r>
    <x v="0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  <n v="1900.8000000000002"/>
    <n v="326"/>
    <n v="346.2"/>
    <n v="334.7"/>
    <n v="1047.5999999999999"/>
    <m/>
    <n v="0"/>
  </r>
  <r>
    <x v="1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  <n v="1932.7"/>
    <n v="329.5"/>
    <n v="338.29999999999995"/>
    <n v="322.60000000000002"/>
    <n v="1193.5999999999999"/>
    <m/>
    <n v="0"/>
  </r>
  <r>
    <x v="2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  <n v="1911.6"/>
    <n v="327.3"/>
    <n v="343.20000000000005"/>
    <n v="328.1"/>
    <n v="1203.6000000000001"/>
    <m/>
    <n v="0"/>
  </r>
  <r>
    <x v="0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  <n v="1913.3000000000002"/>
    <n v="335"/>
    <n v="347.7"/>
    <n v="333.5"/>
    <n v="1050"/>
    <m/>
    <n v="0"/>
  </r>
  <r>
    <x v="1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  <n v="1948.3"/>
    <n v="339.20000000000005"/>
    <n v="340.1"/>
    <n v="321.29999999999995"/>
    <n v="1194.5"/>
    <m/>
    <n v="0"/>
  </r>
  <r>
    <x v="2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  <n v="1925.3000000000002"/>
    <n v="336.6"/>
    <n v="344.8"/>
    <n v="326.89999999999998"/>
    <n v="1204.6999999999998"/>
    <m/>
    <n v="0"/>
  </r>
  <r>
    <x v="0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  <n v="1911.9"/>
    <n v="340.6"/>
    <n v="348.5"/>
    <n v="334.9"/>
    <n v="1056.4999999999998"/>
    <m/>
    <n v="0"/>
  </r>
  <r>
    <x v="1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  <n v="1947.9"/>
    <n v="343.7"/>
    <n v="341.5"/>
    <n v="322"/>
    <n v="1203.3999999999999"/>
    <m/>
    <n v="0"/>
  </r>
  <r>
    <x v="2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  <n v="1924.5000000000002"/>
    <n v="341.79999999999995"/>
    <n v="345.79999999999995"/>
    <n v="327.9"/>
    <n v="1212.8000000000002"/>
    <m/>
    <n v="0"/>
  </r>
  <r>
    <x v="0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  <n v="1919.6000000000001"/>
    <n v="336.20000000000005"/>
    <n v="350.5"/>
    <n v="335.9"/>
    <n v="1059.5999999999999"/>
    <m/>
    <n v="0"/>
  </r>
  <r>
    <x v="1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  <n v="1954.7000000000003"/>
    <n v="339"/>
    <n v="344"/>
    <n v="322.79999999999995"/>
    <n v="1206.5"/>
    <m/>
    <n v="0"/>
  </r>
  <r>
    <x v="2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  <n v="1931.8999999999999"/>
    <n v="337.29999999999995"/>
    <n v="348"/>
    <n v="328.8"/>
    <n v="1216.5999999999999"/>
    <m/>
    <n v="0"/>
  </r>
  <r>
    <x v="0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  <n v="1929.3"/>
    <n v="338.5"/>
    <n v="351"/>
    <n v="336.9"/>
    <n v="1064.2"/>
    <m/>
    <n v="0"/>
  </r>
  <r>
    <x v="1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  <n v="1965.3999999999999"/>
    <n v="341"/>
    <n v="344.9"/>
    <n v="324"/>
    <n v="1211.7999999999997"/>
    <m/>
    <n v="0"/>
  </r>
  <r>
    <x v="2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  <n v="1941.4999999999998"/>
    <n v="339.4"/>
    <n v="348.70000000000005"/>
    <n v="329.9"/>
    <n v="1221.7"/>
    <m/>
    <n v="0"/>
  </r>
  <r>
    <x v="0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  <n v="1943.2999999999997"/>
    <n v="341.20000000000005"/>
    <n v="353.2"/>
    <n v="338"/>
    <n v="1069.3"/>
    <m/>
    <n v="0"/>
  </r>
  <r>
    <x v="1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  <n v="1979.4"/>
    <n v="342.9"/>
    <n v="347"/>
    <n v="325.10000000000002"/>
    <n v="1218.1999999999998"/>
    <m/>
    <n v="0"/>
  </r>
  <r>
    <x v="2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  <n v="1955.5000000000002"/>
    <n v="341.8"/>
    <n v="350.79999999999995"/>
    <n v="331.1"/>
    <n v="1228.5"/>
    <m/>
    <n v="0"/>
  </r>
  <r>
    <x v="0"/>
    <x v="9"/>
    <x v="11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  <n v="1935.2"/>
    <n v="352.5"/>
    <n v="355.70000000000005"/>
    <n v="338.3"/>
    <n v="1072.8"/>
    <m/>
    <n v="0"/>
  </r>
  <r>
    <x v="1"/>
    <x v="9"/>
    <x v="11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  <n v="1958.9"/>
    <n v="355.5"/>
    <n v="349.6"/>
    <n v="325.60000000000002"/>
    <n v="1220"/>
    <m/>
    <n v="0"/>
  </r>
  <r>
    <x v="2"/>
    <x v="9"/>
    <x v="11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  <n v="1943.1"/>
    <n v="353.70000000000005"/>
    <n v="353.4"/>
    <n v="331.5"/>
    <n v="1232"/>
    <m/>
    <n v="0"/>
  </r>
  <r>
    <x v="0"/>
    <x v="9"/>
    <x v="12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  <n v="1914.6000000000001"/>
    <n v="362.5"/>
    <n v="359.2"/>
    <n v="339"/>
    <n v="1075.5"/>
    <m/>
    <n v="0"/>
  </r>
  <r>
    <x v="1"/>
    <x v="9"/>
    <x v="12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  <n v="1929.9999999999998"/>
    <n v="365.8"/>
    <n v="353.2"/>
    <n v="326.5"/>
    <n v="1221.3999999999999"/>
    <m/>
    <n v="0"/>
  </r>
  <r>
    <x v="2"/>
    <x v="9"/>
    <x v="12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  <n v="1919.6000000000001"/>
    <n v="363.79999999999995"/>
    <n v="356.9"/>
    <n v="332.3"/>
    <n v="1233.2"/>
    <m/>
    <n v="0"/>
  </r>
  <r>
    <x v="0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  <n v="1916"/>
    <n v="367.20000000000005"/>
    <n v="363.1"/>
    <n v="340"/>
    <n v="1079.8"/>
    <n v="1167.7"/>
    <n v="7.6065219232247447E-2"/>
  </r>
  <r>
    <x v="1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  <n v="1938"/>
    <n v="372.2"/>
    <n v="357.3"/>
    <n v="327.3"/>
    <n v="1225.1000000000001"/>
    <n v="1164"/>
    <n v="7.5824197299251536E-2"/>
  </r>
  <r>
    <x v="2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  <n v="1923.6000000000001"/>
    <n v="369.1"/>
    <n v="360.9"/>
    <n v="333.1"/>
    <n v="1238.0999999999999"/>
    <n v="1169.8999999999999"/>
    <n v="7.6208529570785541E-2"/>
  </r>
  <r>
    <x v="0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  <n v="1914.7999999999997"/>
    <n v="350.9"/>
    <n v="367.29999999999995"/>
    <n v="341.8"/>
    <n v="1083.4000000000001"/>
    <n v="1180.6000000000001"/>
    <n v="7.6905538944584517E-2"/>
  </r>
  <r>
    <x v="1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  <n v="1948.1000000000001"/>
    <n v="355.1"/>
    <n v="362.20000000000005"/>
    <n v="328.20000000000005"/>
    <n v="1234.3"/>
    <n v="1173.8"/>
    <n v="7.6462579716375823E-2"/>
  </r>
  <r>
    <x v="2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  <n v="1926.6000000000001"/>
    <n v="352.5"/>
    <n v="365.4"/>
    <n v="334.5"/>
    <n v="1244.8"/>
    <n v="1170.9999999999998"/>
    <n v="7.6280184740054588E-2"/>
  </r>
  <r>
    <x v="0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  <n v="1914.8999999999999"/>
    <n v="350.9"/>
    <n v="367.29999999999995"/>
    <n v="341.8"/>
    <n v="1083.3"/>
    <n v="1175.5"/>
    <n v="7.6573319523427996E-2"/>
  </r>
  <r>
    <x v="1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  <n v="1948.3"/>
    <n v="355.1"/>
    <n v="362.3"/>
    <n v="328.20000000000005"/>
    <n v="1234.0999999999999"/>
    <n v="1172.7000000000003"/>
    <n v="7.6390924547106789E-2"/>
  </r>
  <r>
    <x v="2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  <n v="1926.6999999999998"/>
    <n v="352.5"/>
    <n v="365.4"/>
    <n v="334.5"/>
    <n v="1244.5999999999999"/>
    <n v="1173"/>
    <n v="7.6410466865998339E-2"/>
  </r>
  <r>
    <x v="0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  <n v="1928.1000000000001"/>
    <n v="346.1"/>
    <n v="371"/>
    <n v="342.6"/>
    <n v="1087.2"/>
    <n v="1184.8"/>
    <n v="7.7179131409066348E-2"/>
  </r>
  <r>
    <x v="1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  <n v="1966.4999999999998"/>
    <n v="351.20000000000005"/>
    <n v="365.9"/>
    <n v="328.9"/>
    <n v="1238.8000000000002"/>
    <n v="1177.3"/>
    <n v="7.6690573436777348E-2"/>
  </r>
  <r>
    <x v="3"/>
    <x v="11"/>
    <x v="14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m/>
    <n v="1941.6000000000001"/>
    <n v="348"/>
    <n v="369"/>
    <n v="335.2"/>
    <n v="1071.5999999999999"/>
    <m/>
    <n v="0"/>
  </r>
  <r>
    <x v="0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  <n v="1940.1000000000001"/>
    <n v="350.6"/>
    <n v="372.70000000000005"/>
    <n v="343.5"/>
    <n v="1091.2"/>
    <n v="1202.5999999999999"/>
    <n v="7.8338642329965541E-2"/>
  </r>
  <r>
    <x v="1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  <n v="1979.0000000000002"/>
    <n v="356.1"/>
    <n v="367.79999999999995"/>
    <n v="329.6"/>
    <n v="1243.5"/>
    <n v="1187.3"/>
    <n v="7.7341984066496006E-2"/>
  </r>
  <r>
    <x v="2"/>
    <x v="10"/>
    <x v="3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1179.3"/>
    <n v="7.6820855562721085E-2"/>
  </r>
  <r>
    <x v="2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  <n v="1954.2"/>
    <n v="352.7"/>
    <n v="370.9"/>
    <n v="336"/>
    <n v="1254.2"/>
    <n v="1203.5"/>
    <n v="7.8397269286640231E-2"/>
  </r>
  <r>
    <x v="4"/>
    <x v="11"/>
    <x v="14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15351.299999999997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s v="January"/>
    <n v="277.89999999999998"/>
    <n v="1478"/>
    <n v="704.3"/>
    <x v="0"/>
    <m/>
    <m/>
    <m/>
  </r>
  <r>
    <x v="0"/>
    <x v="0"/>
    <s v="December"/>
    <n v="290.8"/>
    <n v="1662"/>
    <n v="727.8"/>
    <x v="1"/>
    <n v="12.449255751014885"/>
    <n v="3.3366463154905581"/>
    <n v="2019"/>
  </r>
  <r>
    <x v="0"/>
    <x v="1"/>
    <s v="January"/>
    <n v="293.5"/>
    <n v="1654.2"/>
    <n v="731.69999999999993"/>
    <x v="0"/>
    <m/>
    <m/>
    <m/>
  </r>
  <r>
    <x v="0"/>
    <x v="1"/>
    <s v="December"/>
    <n v="315.39999999999998"/>
    <n v="1805.8"/>
    <n v="752.8"/>
    <x v="2"/>
    <n v="9.1645508402853277"/>
    <n v="2.883695503621706"/>
    <n v="2020"/>
  </r>
  <r>
    <x v="0"/>
    <x v="2"/>
    <s v="January"/>
    <n v="316.10000000000002"/>
    <n v="1770.6"/>
    <n v="756.7"/>
    <x v="0"/>
    <m/>
    <m/>
    <m/>
  </r>
  <r>
    <x v="0"/>
    <x v="2"/>
    <s v="December"/>
    <n v="333.2"/>
    <n v="1856.8000000000002"/>
    <n v="807.8"/>
    <x v="3"/>
    <n v="4.8684061899921094"/>
    <n v="6.7530064754856483"/>
    <n v="2021"/>
  </r>
  <r>
    <x v="1"/>
    <x v="3"/>
    <m/>
    <m/>
    <m/>
    <m/>
    <x v="4"/>
    <n v="26.48"/>
    <n v="12.97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2016"/>
    <s v="April"/>
    <x v="0"/>
    <m/>
    <x v="0"/>
  </r>
  <r>
    <x v="0"/>
    <n v="2017"/>
    <s v="March"/>
    <x v="1"/>
    <n v="2.8279654359780113"/>
    <x v="1"/>
  </r>
  <r>
    <x v="0"/>
    <n v="2017"/>
    <s v="April"/>
    <x v="2"/>
    <m/>
    <x v="0"/>
  </r>
  <r>
    <x v="0"/>
    <n v="2018"/>
    <s v="March"/>
    <x v="3"/>
    <n v="4.1189931350114461"/>
    <x v="2"/>
  </r>
  <r>
    <x v="0"/>
    <n v="2018"/>
    <s v="April"/>
    <x v="4"/>
    <m/>
    <x v="0"/>
  </r>
  <r>
    <x v="0"/>
    <n v="2019"/>
    <s v="March"/>
    <x v="5"/>
    <n v="2.4070021881838159"/>
    <x v="3"/>
  </r>
  <r>
    <x v="0"/>
    <n v="2019"/>
    <s v="April"/>
    <x v="6"/>
    <m/>
    <x v="0"/>
  </r>
  <r>
    <x v="0"/>
    <n v="2020"/>
    <s v="March"/>
    <x v="7"/>
    <n v="3.1228313671061763"/>
    <x v="4"/>
  </r>
  <r>
    <x v="0"/>
    <n v="2020"/>
    <s v="April"/>
    <x v="8"/>
    <m/>
    <x v="0"/>
  </r>
  <r>
    <x v="0"/>
    <n v="2021"/>
    <s v="March"/>
    <x v="9"/>
    <n v="5.6603773584905692"/>
    <x v="5"/>
  </r>
  <r>
    <x v="0"/>
    <n v="2021"/>
    <s v="April"/>
    <x v="10"/>
    <m/>
    <x v="0"/>
  </r>
  <r>
    <x v="0"/>
    <n v="2022"/>
    <s v="March"/>
    <x v="11"/>
    <n v="6.2737642585551185"/>
    <x v="6"/>
  </r>
  <r>
    <x v="0"/>
    <n v="2022"/>
    <s v="April"/>
    <x v="12"/>
    <m/>
    <x v="0"/>
  </r>
  <r>
    <x v="0"/>
    <n v="2023"/>
    <s v="March"/>
    <x v="13"/>
    <n v="4.1740152851263934"/>
    <x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Jan"/>
    <n v="54"/>
    <n v="4.0999999999999996"/>
    <n v="3.2"/>
    <n v="5.5"/>
    <m/>
    <m/>
    <m/>
    <m/>
    <m/>
  </r>
  <r>
    <x v="0"/>
    <s v="Feb"/>
    <n v="56"/>
    <n v="4.3"/>
    <n v="3.5"/>
    <n v="5.6"/>
    <n v="3.7037037037036979"/>
    <n v="4.8780487804878092"/>
    <n v="9.375"/>
    <n v="1.8181818181818079"/>
    <m/>
  </r>
  <r>
    <x v="0"/>
    <s v="Mar"/>
    <n v="62"/>
    <n v="4.8"/>
    <n v="3.8"/>
    <n v="5.8"/>
    <n v="10.714285714285721"/>
    <n v="11.627906976744191"/>
    <n v="8.5714285714285623"/>
    <n v="3.5714285714285809"/>
    <m/>
  </r>
  <r>
    <x v="0"/>
    <s v="Apr"/>
    <n v="65"/>
    <n v="5"/>
    <n v="4.2"/>
    <n v="6.1"/>
    <n v="4.8387096774193514"/>
    <n v="4.1666666666666741"/>
    <n v="10.526315789473699"/>
    <n v="5.1724137931034484"/>
    <m/>
  </r>
  <r>
    <x v="0"/>
    <s v="May"/>
    <n v="68"/>
    <n v="5.4"/>
    <n v="4.5"/>
    <n v="6.3"/>
    <n v="4.6153846153846212"/>
    <n v="8.0000000000000071"/>
    <n v="7.1428571428571397"/>
    <n v="3.278688524590168"/>
    <m/>
  </r>
  <r>
    <x v="0"/>
    <s v="Jun"/>
    <n v="70"/>
    <n v="5.8"/>
    <n v="4.9000000000000004"/>
    <n v="6.4"/>
    <n v="2.9411764705882248"/>
    <n v="7.4074074074073959"/>
    <n v="8.8888888888889017"/>
    <n v="1.5873015873016041"/>
    <m/>
  </r>
  <r>
    <x v="0"/>
    <s v="Jul"/>
    <n v="73"/>
    <n v="6"/>
    <n v="5.2"/>
    <n v="6.7"/>
    <n v="4.2857142857142927"/>
    <n v="3.448275862068972"/>
    <n v="6.1224489795918444"/>
    <n v="4.6875"/>
    <m/>
  </r>
  <r>
    <x v="0"/>
    <s v="Aug"/>
    <n v="71"/>
    <n v="5.7"/>
    <n v="4.8"/>
    <n v="6.6"/>
    <n v="-2.7397260273972601"/>
    <n v="-4.9999999999999929"/>
    <n v="-7.6923076923076987"/>
    <n v="-1.4925373134328399"/>
    <m/>
  </r>
  <r>
    <x v="0"/>
    <s v="Sep"/>
    <n v="72"/>
    <n v="5.9"/>
    <n v="5"/>
    <n v="6.5"/>
    <n v="1.40845070422535"/>
    <n v="3.5087719298245719"/>
    <n v="4.1666666666666741"/>
    <n v="-1.515151515151514"/>
    <m/>
  </r>
  <r>
    <x v="0"/>
    <s v="Oct"/>
    <n v="75"/>
    <n v="6.3"/>
    <n v="5.4"/>
    <n v="6.8"/>
    <n v="4.1666666666666741"/>
    <n v="6.7796610169491336"/>
    <n v="8.0000000000000071"/>
    <n v="4.6153846153846212"/>
    <m/>
  </r>
  <r>
    <x v="0"/>
    <s v="Nov"/>
    <n v="77"/>
    <n v="6.6"/>
    <n v="5.7"/>
    <n v="7"/>
    <n v="2.6666666666666621"/>
    <n v="4.7619047619047672"/>
    <n v="5.555555555555558"/>
    <n v="2.941176470588247"/>
    <m/>
  </r>
  <r>
    <x v="0"/>
    <s v="Dec"/>
    <n v="79"/>
    <n v="6.9"/>
    <n v="6"/>
    <n v="7.2"/>
    <n v="2.5974025974025978"/>
    <n v="4.5454545454545636"/>
    <n v="5.2631578947368363"/>
    <n v="2.8571428571428692"/>
    <m/>
  </r>
  <r>
    <x v="1"/>
    <s v="Jan"/>
    <n v="81"/>
    <n v="7.1"/>
    <n v="6.2"/>
    <n v="7.5"/>
    <n v="2.531645569620244"/>
    <n v="2.8985507246376718"/>
    <n v="3.3333333333333441"/>
    <n v="4.1666666666666741"/>
    <m/>
  </r>
  <r>
    <x v="1"/>
    <s v="Feb"/>
    <n v="84"/>
    <n v="7.4"/>
    <n v="6.7"/>
    <n v="7.8"/>
    <n v="3.7037037037036979"/>
    <n v="4.2253521126760729"/>
    <n v="8.0645161290322509"/>
    <n v="4.0000000000000044"/>
    <m/>
  </r>
  <r>
    <x v="1"/>
    <s v="Mar"/>
    <n v="92"/>
    <n v="8"/>
    <n v="7.3"/>
    <n v="8.1999999999999993"/>
    <n v="9.5238095238095344"/>
    <n v="8.108108108108091"/>
    <n v="8.9552238805970177"/>
    <n v="5.1282051282051322"/>
    <m/>
  </r>
  <r>
    <x v="1"/>
    <s v="Apr"/>
    <n v="105"/>
    <n v="8.8000000000000007"/>
    <n v="8"/>
    <n v="8.6"/>
    <n v="14.13043478260869"/>
    <n v="10.000000000000011"/>
    <n v="9.5890410958904049"/>
    <n v="4.8780487804878092"/>
    <m/>
  </r>
  <r>
    <x v="1"/>
    <s v="May"/>
    <n v="110"/>
    <n v="9.1"/>
    <n v="8.4"/>
    <n v="8.8000000000000007"/>
    <n v="4.7619047619047672"/>
    <n v="3.409090909090895"/>
    <n v="5.0000000000000044"/>
    <n v="2.3255813953488409"/>
    <m/>
  </r>
  <r>
    <x v="1"/>
    <s v="Jun"/>
    <n v="115"/>
    <n v="9.3000000000000007"/>
    <n v="8.6999999999999993"/>
    <n v="8.6999999999999993"/>
    <n v="4.5454545454545414"/>
    <n v="2.1978021978022122"/>
    <n v="3.5714285714285592"/>
    <n v="-1.136363636363658"/>
    <m/>
  </r>
  <r>
    <x v="1"/>
    <s v="Jul"/>
    <n v="108"/>
    <n v="8.9"/>
    <n v="8.1"/>
    <n v="8.4"/>
    <n v="-6.086956521739129"/>
    <n v="-4.3010752688172111"/>
    <n v="-6.8965517241379226"/>
    <n v="-3.4482758620689502"/>
    <m/>
  </r>
  <r>
    <x v="1"/>
    <s v="Aug"/>
    <n v="102"/>
    <n v="8.1999999999999993"/>
    <n v="7.5"/>
    <n v="8.1"/>
    <n v="-5.555555555555558"/>
    <n v="-7.8651685393258504"/>
    <n v="-7.4074074074074074"/>
    <n v="-3.5714285714285809"/>
    <m/>
  </r>
  <r>
    <x v="1"/>
    <s v="Sep"/>
    <n v="96"/>
    <n v="7.7"/>
    <n v="7"/>
    <n v="7.9"/>
    <n v="-5.8823529411764719"/>
    <n v="-6.0975609756097509"/>
    <n v="-6.6666666666666652"/>
    <n v="-2.469135802469125"/>
    <m/>
  </r>
  <r>
    <x v="1"/>
    <s v="Oct"/>
    <n v="88"/>
    <n v="7.1"/>
    <n v="6.4"/>
    <n v="7.6"/>
    <n v="-8.3333333333333375"/>
    <n v="-7.7922077922077948"/>
    <n v="-8.5714285714285623"/>
    <n v="-3.7974683544303889"/>
    <m/>
  </r>
  <r>
    <x v="1"/>
    <s v="Nov"/>
    <n v="82"/>
    <n v="6.8"/>
    <n v="6.1"/>
    <n v="7.4"/>
    <n v="-6.8181818181818237"/>
    <n v="-4.2253521126760507"/>
    <n v="-4.6875000000000107"/>
    <n v="-2.631578947368407"/>
    <m/>
  </r>
  <r>
    <x v="1"/>
    <s v="Dec"/>
    <n v="80"/>
    <n v="6.6"/>
    <n v="5.9"/>
    <n v="7.3"/>
    <n v="-2.439024390243905"/>
    <n v="-2.9411764705882359"/>
    <n v="-3.278688524590156"/>
    <n v="-1.35135135135136"/>
    <m/>
  </r>
  <r>
    <x v="2"/>
    <s v="Jan"/>
    <n v="82"/>
    <n v="6.7"/>
    <n v="6"/>
    <n v="7.4"/>
    <n v="2.4999999999999911"/>
    <n v="1.515151515151514"/>
    <n v="1.6949152542372841"/>
    <n v="1.3698630136986361"/>
    <m/>
  </r>
  <r>
    <x v="2"/>
    <s v="Feb"/>
    <n v="85"/>
    <n v="6.9"/>
    <n v="6.3"/>
    <n v="7.5"/>
    <n v="3.6585365853658569"/>
    <n v="2.9850746268656798"/>
    <n v="5.0000000000000044"/>
    <n v="1.351351351351338"/>
    <m/>
  </r>
  <r>
    <x v="2"/>
    <s v="Mar"/>
    <n v="83"/>
    <n v="6.8"/>
    <n v="6.1"/>
    <n v="7.3"/>
    <n v="-2.352941176470591"/>
    <n v="-1.449275362318847"/>
    <n v="-3.174603174603174"/>
    <n v="-2.6666666666666732"/>
    <m/>
  </r>
  <r>
    <x v="2"/>
    <s v="Apr"/>
    <n v="87"/>
    <n v="7"/>
    <n v="6.4"/>
    <n v="7.6"/>
    <n v="4.8192771084337283"/>
    <n v="2.941176470588247"/>
    <n v="4.9180327868852514"/>
    <n v="4.109589041095884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84FAD-AC0E-4237-93AE-794379E883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8:I21" firstHeaderRow="1" firstDataRow="2" firstDataCol="1" rowPageCount="1" colPageCount="1"/>
  <pivotFields count="6">
    <pivotField axis="axisRow" showAll="0">
      <items count="3">
        <item h="1" x="1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Col" showAll="0">
      <items count="9">
        <item x="0"/>
        <item x="2"/>
        <item x="5"/>
        <item x="1"/>
        <item x="3"/>
        <item x="6"/>
        <item x="4"/>
        <item h="1" x="7"/>
        <item t="default"/>
      </items>
    </pivotField>
    <pivotField showAll="0"/>
    <pivotField dataField="1" showAll="0"/>
  </pivotFields>
  <rowFields count="1">
    <field x="0"/>
  </rowFields>
  <rowItems count="2">
    <i>
      <x v="1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0" hier="-1"/>
  </pageFields>
  <dataFields count="1">
    <dataField name="Average of Value%" fld="5" subtotal="average" baseField="0" baseItem="0" numFmtId="10"/>
  </dataFields>
  <formats count="2">
    <format dxfId="19">
      <pivotArea collapsedLevelsAreSubtotals="1" fieldPosition="0">
        <references count="2">
          <reference field="0" count="0"/>
          <reference field="3" count="1" selected="0">
            <x v="5"/>
          </reference>
        </references>
      </pivotArea>
    </format>
    <format dxfId="18">
      <pivotArea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1"/>
            </reference>
          </references>
        </pivotArea>
      </pivotAreas>
    </conditionalFormat>
  </conditionalFormat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2E937-A5E7-4AA2-8FCE-0EB3164BF4A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D19:L22" firstHeaderRow="1" firstDataRow="2" firstDataCol="1"/>
  <pivotFields count="6">
    <pivotField axis="axisRow" showAll="0">
      <items count="2"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8"/>
        <item x="7"/>
        <item x="9"/>
        <item x="10"/>
        <item x="11"/>
        <item x="12"/>
        <item x="13"/>
        <item t="default"/>
      </items>
    </pivotField>
    <pivotField dataField="1" showAll="0"/>
    <pivotField axis="axisCol" showAll="0">
      <items count="9">
        <item x="1"/>
        <item x="2"/>
        <item x="3"/>
        <item x="4"/>
        <item x="5"/>
        <item x="6"/>
        <item x="7"/>
        <item h="1"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CPI Infllation " fld="4" subtotal="average" baseField="0" baseItem="0"/>
  </dataFields>
  <formats count="2">
    <format dxfId="13">
      <pivotArea collapsedLevelsAreSubtotals="1" fieldPosition="0">
        <references count="1">
          <reference field="0" count="0"/>
        </references>
      </pivotArea>
    </format>
    <format dxfId="12">
      <pivotArea grandRow="1"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5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5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5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EC702-2FC9-48B6-B5FC-C7A23C5F629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8">
  <location ref="AL373:AN380" firstHeaderRow="1" firstDataRow="2" firstDataCol="1" rowPageCount="1" colPageCount="1"/>
  <pivotFields count="37">
    <pivotField axis="axisCol" showAll="0">
      <items count="6">
        <item h="1" x="0"/>
        <item x="2"/>
        <item h="1" x="1"/>
        <item h="1" x="3"/>
        <item h="1" x="4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6">
        <item x="0"/>
        <item x="1"/>
        <item x="2"/>
        <item x="3"/>
        <item x="4"/>
        <item h="1" x="5"/>
        <item h="1" x="6"/>
        <item h="1" x="7"/>
        <item h="1" x="8"/>
        <item h="1" x="9"/>
        <item h="1" x="11"/>
        <item h="1" x="12"/>
        <item h="1" x="13"/>
        <item h="1" x="10"/>
        <item h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2">
    <i>
      <x v="1"/>
    </i>
    <i t="grand">
      <x/>
    </i>
  </colItems>
  <pageFields count="1">
    <pageField fld="1" item="10" hier="-1"/>
  </pageFields>
  <dataFields count="1">
    <dataField name="Average of %change in food category" fld="36" subtotal="average" baseField="0" baseItem="1" numFmtId="10"/>
  </dataFields>
  <formats count="1">
    <format dxfId="11">
      <pivotArea outline="0" collapsedLevelsAreSubtotals="1" fieldPosition="0"/>
    </format>
  </formats>
  <conditionalFormats count="2"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2" count="1">
              <x v="4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26"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7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18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18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18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18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44380-9CA0-42CC-A003-D545302B887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E20" firstHeaderRow="0" firstDataRow="1" firstDataCol="1" rowPageCount="1" colPageCount="1"/>
  <pivotFields count="10"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dataField="1" showAll="0">
      <items count="6">
        <item x="1"/>
        <item x="3"/>
        <item x="2"/>
        <item x="4"/>
        <item x="0"/>
        <item t="default"/>
      </items>
    </pivotField>
    <pivotField dataField="1"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1" hier="-1"/>
  </pageFields>
  <dataFields count="3">
    <dataField name="Average of Health %" fld="6" subtotal="average" baseField="1" baseItem="2"/>
    <dataField name="Average of Food%" fld="7" subtotal="average" baseField="1" baseItem="2"/>
    <dataField name="Average of Essential Services%" fld="8" subtotal="average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857F8-68B5-4D6A-97D8-E89A260DD078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7:E41" firstHeaderRow="0" firstDataRow="1" firstDataCol="1"/>
  <pivotFields count="11"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Fuel_Inflation" fld="3" subtotal="average" baseField="0" baseItem="0"/>
    <dataField name="Average of Transport_Inflation" fld="4" subtotal="average" baseField="0" baseItem="0"/>
    <dataField name="Average of Food_Inflation" fld="5" subtotal="average" baseField="0" baseItem="0"/>
    <dataField name="Average of Crude_Oil_Price" fld="2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B07260A-867A-4092-B7BF-E4C30472EF81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Sector" tableColumnId="1"/>
      <queryTableField id="2" name="Year" tableColumnId="2"/>
      <queryTableField id="3" name="Month" tableColumnId="3"/>
      <queryTableField id="4" name="Attribute" tableColumnId="4"/>
      <queryTableField id="5" name="Valu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A5AE7D-E726-44C4-806F-07E17DD5C24E}" name="Table3__4" displayName="Table3__4" ref="A1:F9" tableType="queryTable" totalsRowShown="0">
  <autoFilter ref="A1:F9" xr:uid="{FDA5AE7D-E726-44C4-806F-07E17DD5C24E}"/>
  <tableColumns count="6">
    <tableColumn id="1" xr3:uid="{262384BA-5267-4617-A40C-026B1C66C5A7}" uniqueName="1" name="Sector" queryTableFieldId="1" dataDxfId="17"/>
    <tableColumn id="2" xr3:uid="{E8041913-1F60-41DC-9A8D-3F8D37BE2C9E}" uniqueName="2" name="Year" queryTableFieldId="2"/>
    <tableColumn id="3" xr3:uid="{2ED4D29E-6591-412E-8275-C5CB33C71160}" uniqueName="3" name="Month" queryTableFieldId="3" dataDxfId="16"/>
    <tableColumn id="4" xr3:uid="{E4223E71-C876-429C-8CDA-30CF2921CCB5}" uniqueName="4" name="Attribute" queryTableFieldId="4" dataDxfId="15"/>
    <tableColumn id="5" xr3:uid="{EEBC779E-FC2D-44A0-A9ED-4CE7AB0DAE3B}" uniqueName="5" name="Value" queryTableFieldId="5"/>
    <tableColumn id="6" xr3:uid="{ADB86613-F82E-4B39-9148-5BC783497DE8}" uniqueName="6" name="Value%" queryTableFieldId="6" dataDxfId="14" dataCellStyle="Percent">
      <calculatedColumnFormula>(Table3__4[[#This Row],[Value]]/$E$9)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55F4A-E0C9-45FC-ACBF-8B6B1A3B7884}" name="Table1" displayName="Table1" ref="A1:AK376" totalsRowShown="0">
  <autoFilter ref="A1:AK376" xr:uid="{05955F4A-E0C9-45FC-ACBF-8B6B1A3B7884}">
    <filterColumn colId="0">
      <filters>
        <filter val="Rural+Urban"/>
      </filters>
    </filterColumn>
    <filterColumn colId="1">
      <filters>
        <filter val="2023"/>
      </filters>
    </filterColumn>
  </autoFilter>
  <tableColumns count="37">
    <tableColumn id="1" xr3:uid="{13F6B7B3-D882-4445-9704-9C67ABEADD31}" name="Sector"/>
    <tableColumn id="2" xr3:uid="{8402D454-6CAA-4EE7-934D-0D86E104D5E9}" name="Year"/>
    <tableColumn id="3" xr3:uid="{AC7E9E18-BC7C-4F03-AD00-CD1223B7BBC0}" name="Month"/>
    <tableColumn id="4" xr3:uid="{3C804858-2ACA-4334-9F60-E0A2C2BCB7D3}" name="Cereals and products"/>
    <tableColumn id="5" xr3:uid="{C07E3EC4-132F-494C-ABFC-B4097204724F}" name="Meat and fish"/>
    <tableColumn id="6" xr3:uid="{3D9B6321-2C40-4B38-94ED-600E34300F58}" name="Egg"/>
    <tableColumn id="7" xr3:uid="{A9577307-B268-448D-BC72-302405EE4851}" name="Milk and products"/>
    <tableColumn id="8" xr3:uid="{DB959BE9-2CA5-459C-AA2A-57BC60E40C85}" name="Oils and fats"/>
    <tableColumn id="9" xr3:uid="{120FC2EA-1164-4CCD-B219-B96C5A91793A}" name="Fruits"/>
    <tableColumn id="10" xr3:uid="{D4C404D4-671B-42B9-B72D-D16337ED1189}" name="Vegetables"/>
    <tableColumn id="11" xr3:uid="{9F9157FB-B817-4339-A6DB-B1D60FD97528}" name="Pulses and products"/>
    <tableColumn id="12" xr3:uid="{5A578DAF-9660-40F3-9F6B-16857FB94E93}" name="Sugar and Confectionery"/>
    <tableColumn id="13" xr3:uid="{9BD1DE90-CA7D-4E89-A2D1-0B55556F1078}" name="Spices"/>
    <tableColumn id="14" xr3:uid="{627255B7-618D-4845-A401-D13DC38632FC}" name="Non-alcoholic beverages"/>
    <tableColumn id="15" xr3:uid="{CAF604A8-10F3-41C5-BA6A-2265386817A6}" name="Prepared meals, snacks, sweets etc."/>
    <tableColumn id="16" xr3:uid="{AE148542-0FF2-4FD2-BB9F-371D587DED0F}" name="Food and beverages"/>
    <tableColumn id="17" xr3:uid="{EEC1ED53-C44C-4B8B-8067-7A56D4B4EC60}" name="Pan, tobacco and intoxicants"/>
    <tableColumn id="18" xr3:uid="{C35C6929-4F2C-48EF-92FA-FA9349FCA662}" name="Clothing"/>
    <tableColumn id="19" xr3:uid="{4E950654-F938-4016-996B-F02B142F780C}" name="Footwear"/>
    <tableColumn id="20" xr3:uid="{CAD875D3-11CC-4E62-A5FD-5411E7793A9D}" name="Clothing and footwear"/>
    <tableColumn id="21" xr3:uid="{D5E687FA-91EB-4F67-AD47-97F5351F060E}" name="Housing"/>
    <tableColumn id="22" xr3:uid="{A0E1EC23-2D5E-49CE-BCD3-6675AE0FE615}" name="Fuel and light"/>
    <tableColumn id="23" xr3:uid="{DC80CA1A-5AAF-410F-97E0-000F02AAC264}" name="Household goods and services"/>
    <tableColumn id="24" xr3:uid="{C1072E61-778A-41CF-BE23-6AA631DB1159}" name="Health"/>
    <tableColumn id="25" xr3:uid="{E9E7BA88-32DF-4CE6-A57D-5E3583242EE9}" name="Transport and communication"/>
    <tableColumn id="26" xr3:uid="{0C3F188A-23B8-48DA-97CF-A4656868F6D8}" name="Recreation and amusement"/>
    <tableColumn id="27" xr3:uid="{13AC4071-A0E8-4D62-A0E2-D4D9E1A66177}" name="Education"/>
    <tableColumn id="28" xr3:uid="{C30C97B3-82AA-4F71-8622-403C88D1AA4B}" name="Personal care and effects"/>
    <tableColumn id="29" xr3:uid="{9A93BEBC-F77E-4C86-8C5A-48915E556750}" name="Miscellaneous"/>
    <tableColumn id="30" xr3:uid="{7C121846-516F-4C45-BCAE-32A8DE5426B4}" name="General index"/>
    <tableColumn id="31" xr3:uid="{8FDEE91F-E9FC-4851-A544-F0CAE71BE9E1}" name="Food And Beverages2" dataDxfId="10">
      <calculatedColumnFormula>SUM(D2,E2,H2,I2,J2,K2,L2,M2,N2,O2,P2)</calculatedColumnFormula>
    </tableColumn>
    <tableColumn id="32" xr3:uid="{B3C2B8DB-4D2D-4480-AD92-3C43984CBBDF}" name="Dairy" dataDxfId="9">
      <calculatedColumnFormula>SUM(F2,G2)</calculatedColumnFormula>
    </tableColumn>
    <tableColumn id="33" xr3:uid="{1595EF90-3FC1-45DC-943B-7EA5ED5404B3}" name="Health2" dataDxfId="8">
      <calculatedColumnFormula>SUM(X2,AB2)</calculatedColumnFormula>
    </tableColumn>
    <tableColumn id="34" xr3:uid="{72F0F652-CA58-4767-9AB4-DEF55B935474}" name="Education " dataDxfId="7">
      <calculatedColumnFormula>SUM(Z2,Y2)</calculatedColumnFormula>
    </tableColumn>
    <tableColumn id="35" xr3:uid="{2DF58836-CDA2-453C-87D8-433A9412F13F}" name="Others " dataDxfId="6">
      <calculatedColumnFormula>SUM(Q2,U2,V2,W2,Y2,AC2,AD2)</calculatedColumnFormula>
    </tableColumn>
    <tableColumn id="38" xr3:uid="{9035F8FD-0A31-4DCB-B6B2-537257090B4F}" name="Food Category" dataDxfId="5"/>
    <tableColumn id="36" xr3:uid="{03228A76-B8DC-4165-9168-2A343FF0429E}" name="%change in food category" dataDxfId="4">
      <calculatedColumnFormula>(Table1[[#This Row],[Food Category]]/$AJ$375)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11C56B-DBD4-42F4-B13E-DE0579B5BBCA}" name="Table2" displayName="Table2" ref="A1:K29" totalsRowShown="0">
  <autoFilter ref="A1:K29" xr:uid="{0411C56B-DBD4-42F4-B13E-DE0579B5BBCA}"/>
  <tableColumns count="11">
    <tableColumn id="1" xr3:uid="{F33C26F4-D89E-4B8E-9544-2501BC19F909}" name="Year"/>
    <tableColumn id="2" xr3:uid="{AE89EEED-7F9C-4F80-9CB5-1F2A978CB054}" name="Month"/>
    <tableColumn id="3" xr3:uid="{69B10A65-DDD3-4034-ABBE-1E347429D5E1}" name="Crude_Oil_Price"/>
    <tableColumn id="4" xr3:uid="{63036BFD-12E6-4BAE-8F46-6F512BF7D1BE}" name="Fuel_Inflation"/>
    <tableColumn id="5" xr3:uid="{29307189-328B-40D7-9C88-BEBDF7112A62}" name="Transport_Inflation"/>
    <tableColumn id="6" xr3:uid="{2AA948E5-F94F-44D7-8077-17EED12FCD35}" name="Food_Inflation"/>
    <tableColumn id="7" xr3:uid="{78F9F2A5-E0B8-4AB7-8098-C273F17EE942}" name="Oil_%Change"/>
    <tableColumn id="8" xr3:uid="{A83DD4C5-CF0A-4431-BD1C-0D4C6314BB1A}" name="Fuel_%Change"/>
    <tableColumn id="9" xr3:uid="{3A170584-EC07-4EBB-8A28-A1E1A9A547FA}" name="Transport_%Change"/>
    <tableColumn id="10" xr3:uid="{9254C88D-491F-4F16-9290-D74FD6294E34}" name="Food_%Change"/>
    <tableColumn id="11" xr3:uid="{00BCEDD8-692E-4840-9E94-03C393E505A9}" name="Column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E012E6-5EBB-4DE8-B81E-4F6C9FCBF5D6}" name="Table3" displayName="Table3" ref="A31:B35" totalsRowShown="0">
  <autoFilter ref="A31:B35" xr:uid="{15E012E6-5EBB-4DE8-B81E-4F6C9FCBF5D6}">
    <filterColumn colId="1">
      <customFilters>
        <customFilter operator="notEqual" val=" "/>
      </customFilters>
    </filterColumn>
  </autoFilter>
  <tableColumns count="2">
    <tableColumn id="1" xr3:uid="{039F4747-EDF6-40EE-803F-90462D5822C0}" name="Column1"/>
    <tableColumn id="2" xr3:uid="{F9DE936B-FF6B-4793-ABC4-E23D2C2156BD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66D2-1442-4130-AD84-D4F172F38D20}">
  <sheetPr filterMode="1"/>
  <dimension ref="A1:AD376"/>
  <sheetViews>
    <sheetView topLeftCell="J1" workbookViewId="0">
      <selection activeCell="Y293" sqref="Y293"/>
    </sheetView>
  </sheetViews>
  <sheetFormatPr defaultRowHeight="14.4" x14ac:dyDescent="0.3"/>
  <cols>
    <col min="25" max="25" width="27.44140625" bestFit="1" customWidth="1"/>
  </cols>
  <sheetData>
    <row r="1" spans="1:30" ht="18" x14ac:dyDescent="0.35">
      <c r="J1" s="20" t="s">
        <v>84</v>
      </c>
      <c r="K1" s="21"/>
      <c r="L1" s="21"/>
      <c r="M1" s="21"/>
      <c r="N1" s="21"/>
      <c r="O1" s="21"/>
    </row>
    <row r="2" spans="1:30" ht="18" x14ac:dyDescent="0.35">
      <c r="F2" s="22" t="s">
        <v>83</v>
      </c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30" ht="18" x14ac:dyDescent="0.35">
      <c r="F3" s="22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30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</row>
    <row r="5" spans="1:30" hidden="1" x14ac:dyDescent="0.3">
      <c r="A5" t="s">
        <v>30</v>
      </c>
      <c r="B5">
        <v>2013</v>
      </c>
      <c r="C5" t="s">
        <v>31</v>
      </c>
      <c r="D5">
        <v>107.5</v>
      </c>
      <c r="E5">
        <v>106.3</v>
      </c>
      <c r="F5">
        <v>108.1</v>
      </c>
      <c r="G5">
        <v>104.9</v>
      </c>
      <c r="H5">
        <v>106.1</v>
      </c>
      <c r="I5">
        <v>103.9</v>
      </c>
      <c r="J5">
        <v>101.9</v>
      </c>
      <c r="K5">
        <v>106.1</v>
      </c>
      <c r="L5">
        <v>106.8</v>
      </c>
      <c r="M5">
        <v>103.1</v>
      </c>
      <c r="N5">
        <v>104.8</v>
      </c>
      <c r="O5">
        <v>106.7</v>
      </c>
      <c r="P5">
        <v>105.5</v>
      </c>
      <c r="Q5">
        <v>105.1</v>
      </c>
      <c r="R5">
        <v>106.5</v>
      </c>
      <c r="S5">
        <v>105.8</v>
      </c>
      <c r="T5">
        <v>106.4</v>
      </c>
      <c r="U5" t="s">
        <v>32</v>
      </c>
      <c r="V5">
        <v>105.5</v>
      </c>
      <c r="W5">
        <v>104.8</v>
      </c>
      <c r="X5">
        <v>104</v>
      </c>
      <c r="Y5">
        <v>103.3</v>
      </c>
      <c r="Z5">
        <v>103.4</v>
      </c>
      <c r="AA5">
        <v>103.8</v>
      </c>
      <c r="AB5">
        <v>104.7</v>
      </c>
      <c r="AC5">
        <v>104</v>
      </c>
      <c r="AD5">
        <v>105.1</v>
      </c>
    </row>
    <row r="6" spans="1:30" hidden="1" x14ac:dyDescent="0.3">
      <c r="A6" t="s">
        <v>33</v>
      </c>
      <c r="B6">
        <v>2013</v>
      </c>
      <c r="C6" t="s">
        <v>31</v>
      </c>
      <c r="D6">
        <v>110.5</v>
      </c>
      <c r="E6">
        <v>109.1</v>
      </c>
      <c r="F6">
        <v>113</v>
      </c>
      <c r="G6">
        <v>103.6</v>
      </c>
      <c r="H6">
        <v>103.4</v>
      </c>
      <c r="I6">
        <v>102.3</v>
      </c>
      <c r="J6">
        <v>102.9</v>
      </c>
      <c r="K6">
        <v>105.8</v>
      </c>
      <c r="L6">
        <v>105.1</v>
      </c>
      <c r="M6">
        <v>101.8</v>
      </c>
      <c r="N6">
        <v>105.1</v>
      </c>
      <c r="O6">
        <v>107.9</v>
      </c>
      <c r="P6">
        <v>105.9</v>
      </c>
      <c r="Q6">
        <v>105.2</v>
      </c>
      <c r="R6">
        <v>105.9</v>
      </c>
      <c r="S6">
        <v>105</v>
      </c>
      <c r="T6">
        <v>105.8</v>
      </c>
      <c r="U6">
        <v>100.3</v>
      </c>
      <c r="V6">
        <v>105.4</v>
      </c>
      <c r="W6">
        <v>104.8</v>
      </c>
      <c r="X6">
        <v>104.1</v>
      </c>
      <c r="Y6">
        <v>103.2</v>
      </c>
      <c r="Z6">
        <v>102.9</v>
      </c>
      <c r="AA6">
        <v>103.5</v>
      </c>
      <c r="AB6">
        <v>104.3</v>
      </c>
      <c r="AC6">
        <v>103.7</v>
      </c>
      <c r="AD6">
        <v>104</v>
      </c>
    </row>
    <row r="7" spans="1:30" hidden="1" x14ac:dyDescent="0.3">
      <c r="A7" t="s">
        <v>34</v>
      </c>
      <c r="B7">
        <v>2013</v>
      </c>
      <c r="C7" t="s">
        <v>31</v>
      </c>
      <c r="D7">
        <v>108.4</v>
      </c>
      <c r="E7">
        <v>107.3</v>
      </c>
      <c r="F7">
        <v>110</v>
      </c>
      <c r="G7">
        <v>104.4</v>
      </c>
      <c r="H7">
        <v>105.1</v>
      </c>
      <c r="I7">
        <v>103.2</v>
      </c>
      <c r="J7">
        <v>102.2</v>
      </c>
      <c r="K7">
        <v>106</v>
      </c>
      <c r="L7">
        <v>106.2</v>
      </c>
      <c r="M7">
        <v>102.7</v>
      </c>
      <c r="N7">
        <v>104.9</v>
      </c>
      <c r="O7">
        <v>107.3</v>
      </c>
      <c r="P7">
        <v>105.6</v>
      </c>
      <c r="Q7">
        <v>105.1</v>
      </c>
      <c r="R7">
        <v>106.3</v>
      </c>
      <c r="S7">
        <v>105.5</v>
      </c>
      <c r="T7">
        <v>106.2</v>
      </c>
      <c r="U7">
        <v>100.3</v>
      </c>
      <c r="V7">
        <v>105.5</v>
      </c>
      <c r="W7">
        <v>104.8</v>
      </c>
      <c r="X7">
        <v>104</v>
      </c>
      <c r="Y7">
        <v>103.2</v>
      </c>
      <c r="Z7">
        <v>103.1</v>
      </c>
      <c r="AA7">
        <v>103.6</v>
      </c>
      <c r="AB7">
        <v>104.5</v>
      </c>
      <c r="AC7">
        <v>103.9</v>
      </c>
      <c r="AD7">
        <v>104.6</v>
      </c>
    </row>
    <row r="8" spans="1:30" hidden="1" x14ac:dyDescent="0.3">
      <c r="A8" t="s">
        <v>30</v>
      </c>
      <c r="B8">
        <v>2013</v>
      </c>
      <c r="C8" t="s">
        <v>35</v>
      </c>
      <c r="D8">
        <v>109.2</v>
      </c>
      <c r="E8">
        <v>108.7</v>
      </c>
      <c r="F8">
        <v>110.2</v>
      </c>
      <c r="G8">
        <v>105.4</v>
      </c>
      <c r="H8">
        <v>106.7</v>
      </c>
      <c r="I8">
        <v>104</v>
      </c>
      <c r="J8">
        <v>102.4</v>
      </c>
      <c r="K8">
        <v>105.9</v>
      </c>
      <c r="L8">
        <v>105.7</v>
      </c>
      <c r="M8">
        <v>103.1</v>
      </c>
      <c r="N8">
        <v>105.1</v>
      </c>
      <c r="O8">
        <v>107.7</v>
      </c>
      <c r="P8">
        <v>106.3</v>
      </c>
      <c r="Q8">
        <v>105.6</v>
      </c>
      <c r="R8">
        <v>107.1</v>
      </c>
      <c r="S8">
        <v>106.3</v>
      </c>
      <c r="T8">
        <v>107</v>
      </c>
      <c r="U8" t="s">
        <v>32</v>
      </c>
      <c r="V8">
        <v>106.2</v>
      </c>
      <c r="W8">
        <v>105.2</v>
      </c>
      <c r="X8">
        <v>104.4</v>
      </c>
      <c r="Y8">
        <v>103.9</v>
      </c>
      <c r="Z8">
        <v>104</v>
      </c>
      <c r="AA8">
        <v>104.1</v>
      </c>
      <c r="AB8">
        <v>104.6</v>
      </c>
      <c r="AC8">
        <v>104.4</v>
      </c>
      <c r="AD8">
        <v>105.8</v>
      </c>
    </row>
    <row r="9" spans="1:30" hidden="1" x14ac:dyDescent="0.3">
      <c r="A9" t="s">
        <v>33</v>
      </c>
      <c r="B9">
        <v>2013</v>
      </c>
      <c r="C9" t="s">
        <v>35</v>
      </c>
      <c r="D9">
        <v>112.9</v>
      </c>
      <c r="E9">
        <v>112.9</v>
      </c>
      <c r="F9">
        <v>116.9</v>
      </c>
      <c r="G9">
        <v>104</v>
      </c>
      <c r="H9">
        <v>103.5</v>
      </c>
      <c r="I9">
        <v>103.1</v>
      </c>
      <c r="J9">
        <v>104.9</v>
      </c>
      <c r="K9">
        <v>104.1</v>
      </c>
      <c r="L9">
        <v>103.8</v>
      </c>
      <c r="M9">
        <v>102.3</v>
      </c>
      <c r="N9">
        <v>106</v>
      </c>
      <c r="O9">
        <v>109</v>
      </c>
      <c r="P9">
        <v>107.2</v>
      </c>
      <c r="Q9">
        <v>106</v>
      </c>
      <c r="R9">
        <v>106.6</v>
      </c>
      <c r="S9">
        <v>105.5</v>
      </c>
      <c r="T9">
        <v>106.4</v>
      </c>
      <c r="U9">
        <v>100.4</v>
      </c>
      <c r="V9">
        <v>105.7</v>
      </c>
      <c r="W9">
        <v>105.2</v>
      </c>
      <c r="X9">
        <v>104.7</v>
      </c>
      <c r="Y9">
        <v>104.4</v>
      </c>
      <c r="Z9">
        <v>103.3</v>
      </c>
      <c r="AA9">
        <v>103.7</v>
      </c>
      <c r="AB9">
        <v>104.3</v>
      </c>
      <c r="AC9">
        <v>104.3</v>
      </c>
      <c r="AD9">
        <v>104.7</v>
      </c>
    </row>
    <row r="10" spans="1:30" hidden="1" x14ac:dyDescent="0.3">
      <c r="A10" t="s">
        <v>34</v>
      </c>
      <c r="B10">
        <v>2013</v>
      </c>
      <c r="C10" t="s">
        <v>35</v>
      </c>
      <c r="D10">
        <v>110.4</v>
      </c>
      <c r="E10">
        <v>110.2</v>
      </c>
      <c r="F10">
        <v>112.8</v>
      </c>
      <c r="G10">
        <v>104.9</v>
      </c>
      <c r="H10">
        <v>105.5</v>
      </c>
      <c r="I10">
        <v>103.6</v>
      </c>
      <c r="J10">
        <v>103.2</v>
      </c>
      <c r="K10">
        <v>105.3</v>
      </c>
      <c r="L10">
        <v>105.1</v>
      </c>
      <c r="M10">
        <v>102.8</v>
      </c>
      <c r="N10">
        <v>105.5</v>
      </c>
      <c r="O10">
        <v>108.3</v>
      </c>
      <c r="P10">
        <v>106.6</v>
      </c>
      <c r="Q10">
        <v>105.7</v>
      </c>
      <c r="R10">
        <v>106.9</v>
      </c>
      <c r="S10">
        <v>106</v>
      </c>
      <c r="T10">
        <v>106.8</v>
      </c>
      <c r="U10">
        <v>100.4</v>
      </c>
      <c r="V10">
        <v>106</v>
      </c>
      <c r="W10">
        <v>105.2</v>
      </c>
      <c r="X10">
        <v>104.5</v>
      </c>
      <c r="Y10">
        <v>104.2</v>
      </c>
      <c r="Z10">
        <v>103.6</v>
      </c>
      <c r="AA10">
        <v>103.9</v>
      </c>
      <c r="AB10">
        <v>104.5</v>
      </c>
      <c r="AC10">
        <v>104.4</v>
      </c>
      <c r="AD10">
        <v>105.3</v>
      </c>
    </row>
    <row r="11" spans="1:30" hidden="1" x14ac:dyDescent="0.3">
      <c r="A11" t="s">
        <v>30</v>
      </c>
      <c r="B11">
        <v>2013</v>
      </c>
      <c r="C11" t="s">
        <v>36</v>
      </c>
      <c r="D11">
        <v>110.2</v>
      </c>
      <c r="E11">
        <v>108.8</v>
      </c>
      <c r="F11">
        <v>109.9</v>
      </c>
      <c r="G11">
        <v>105.6</v>
      </c>
      <c r="H11">
        <v>106.2</v>
      </c>
      <c r="I11">
        <v>105.7</v>
      </c>
      <c r="J11">
        <v>101.4</v>
      </c>
      <c r="K11">
        <v>105.7</v>
      </c>
      <c r="L11">
        <v>105</v>
      </c>
      <c r="M11">
        <v>103.3</v>
      </c>
      <c r="N11">
        <v>105.6</v>
      </c>
      <c r="O11">
        <v>108.2</v>
      </c>
      <c r="P11">
        <v>106.6</v>
      </c>
      <c r="Q11">
        <v>106.5</v>
      </c>
      <c r="R11">
        <v>107.6</v>
      </c>
      <c r="S11">
        <v>106.8</v>
      </c>
      <c r="T11">
        <v>107.5</v>
      </c>
      <c r="U11" t="s">
        <v>32</v>
      </c>
      <c r="V11">
        <v>106.1</v>
      </c>
      <c r="W11">
        <v>105.6</v>
      </c>
      <c r="X11">
        <v>104.7</v>
      </c>
      <c r="Y11">
        <v>104.6</v>
      </c>
      <c r="Z11">
        <v>104</v>
      </c>
      <c r="AA11">
        <v>104.3</v>
      </c>
      <c r="AB11">
        <v>104.3</v>
      </c>
      <c r="AC11">
        <v>104.6</v>
      </c>
      <c r="AD11">
        <v>106</v>
      </c>
    </row>
    <row r="12" spans="1:30" hidden="1" x14ac:dyDescent="0.3">
      <c r="A12" t="s">
        <v>33</v>
      </c>
      <c r="B12">
        <v>2013</v>
      </c>
      <c r="C12" t="s">
        <v>36</v>
      </c>
      <c r="D12">
        <v>113.9</v>
      </c>
      <c r="E12">
        <v>111.4</v>
      </c>
      <c r="F12">
        <v>113.2</v>
      </c>
      <c r="G12">
        <v>104.3</v>
      </c>
      <c r="H12">
        <v>102.7</v>
      </c>
      <c r="I12">
        <v>104.9</v>
      </c>
      <c r="J12">
        <v>103.8</v>
      </c>
      <c r="K12">
        <v>103.5</v>
      </c>
      <c r="L12">
        <v>102.6</v>
      </c>
      <c r="M12">
        <v>102.4</v>
      </c>
      <c r="N12">
        <v>107</v>
      </c>
      <c r="O12">
        <v>109.8</v>
      </c>
      <c r="P12">
        <v>107.3</v>
      </c>
      <c r="Q12">
        <v>106.8</v>
      </c>
      <c r="R12">
        <v>107.2</v>
      </c>
      <c r="S12">
        <v>106</v>
      </c>
      <c r="T12">
        <v>107</v>
      </c>
      <c r="U12">
        <v>100.4</v>
      </c>
      <c r="V12">
        <v>106</v>
      </c>
      <c r="W12">
        <v>105.7</v>
      </c>
      <c r="X12">
        <v>105.2</v>
      </c>
      <c r="Y12">
        <v>105.5</v>
      </c>
      <c r="Z12">
        <v>103.5</v>
      </c>
      <c r="AA12">
        <v>103.8</v>
      </c>
      <c r="AB12">
        <v>104.2</v>
      </c>
      <c r="AC12">
        <v>104.9</v>
      </c>
      <c r="AD12">
        <v>105</v>
      </c>
    </row>
    <row r="13" spans="1:30" hidden="1" x14ac:dyDescent="0.3">
      <c r="A13" t="s">
        <v>34</v>
      </c>
      <c r="B13">
        <v>2013</v>
      </c>
      <c r="C13" t="s">
        <v>36</v>
      </c>
      <c r="D13">
        <v>111.4</v>
      </c>
      <c r="E13">
        <v>109.7</v>
      </c>
      <c r="F13">
        <v>111.2</v>
      </c>
      <c r="G13">
        <v>105.1</v>
      </c>
      <c r="H13">
        <v>104.9</v>
      </c>
      <c r="I13">
        <v>105.3</v>
      </c>
      <c r="J13">
        <v>102.2</v>
      </c>
      <c r="K13">
        <v>105</v>
      </c>
      <c r="L13">
        <v>104.2</v>
      </c>
      <c r="M13">
        <v>103</v>
      </c>
      <c r="N13">
        <v>106.2</v>
      </c>
      <c r="O13">
        <v>108.9</v>
      </c>
      <c r="P13">
        <v>106.9</v>
      </c>
      <c r="Q13">
        <v>106.6</v>
      </c>
      <c r="R13">
        <v>107.4</v>
      </c>
      <c r="S13">
        <v>106.5</v>
      </c>
      <c r="T13">
        <v>107.3</v>
      </c>
      <c r="U13">
        <v>100.4</v>
      </c>
      <c r="V13">
        <v>106.1</v>
      </c>
      <c r="W13">
        <v>105.6</v>
      </c>
      <c r="X13">
        <v>104.9</v>
      </c>
      <c r="Y13">
        <v>105.1</v>
      </c>
      <c r="Z13">
        <v>103.7</v>
      </c>
      <c r="AA13">
        <v>104</v>
      </c>
      <c r="AB13">
        <v>104.3</v>
      </c>
      <c r="AC13">
        <v>104.7</v>
      </c>
      <c r="AD13">
        <v>105.5</v>
      </c>
    </row>
    <row r="14" spans="1:30" hidden="1" x14ac:dyDescent="0.3">
      <c r="A14" t="s">
        <v>30</v>
      </c>
      <c r="B14">
        <v>2013</v>
      </c>
      <c r="C14" t="s">
        <v>37</v>
      </c>
      <c r="D14">
        <v>110.2</v>
      </c>
      <c r="E14">
        <v>109.5</v>
      </c>
      <c r="F14">
        <v>106.9</v>
      </c>
      <c r="G14">
        <v>106.3</v>
      </c>
      <c r="H14">
        <v>105.7</v>
      </c>
      <c r="I14">
        <v>108.3</v>
      </c>
      <c r="J14">
        <v>103.4</v>
      </c>
      <c r="K14">
        <v>105.7</v>
      </c>
      <c r="L14">
        <v>104.2</v>
      </c>
      <c r="M14">
        <v>103.2</v>
      </c>
      <c r="N14">
        <v>106.5</v>
      </c>
      <c r="O14">
        <v>108.8</v>
      </c>
      <c r="P14">
        <v>107.1</v>
      </c>
      <c r="Q14">
        <v>107.1</v>
      </c>
      <c r="R14">
        <v>108.1</v>
      </c>
      <c r="S14">
        <v>107.4</v>
      </c>
      <c r="T14">
        <v>108</v>
      </c>
      <c r="U14" t="s">
        <v>32</v>
      </c>
      <c r="V14">
        <v>106.5</v>
      </c>
      <c r="W14">
        <v>106.1</v>
      </c>
      <c r="X14">
        <v>105.1</v>
      </c>
      <c r="Y14">
        <v>104.4</v>
      </c>
      <c r="Z14">
        <v>104.5</v>
      </c>
      <c r="AA14">
        <v>104.8</v>
      </c>
      <c r="AB14">
        <v>102.7</v>
      </c>
      <c r="AC14">
        <v>104.6</v>
      </c>
      <c r="AD14">
        <v>106.4</v>
      </c>
    </row>
    <row r="15" spans="1:30" hidden="1" x14ac:dyDescent="0.3">
      <c r="A15" t="s">
        <v>33</v>
      </c>
      <c r="B15">
        <v>2013</v>
      </c>
      <c r="C15" t="s">
        <v>37</v>
      </c>
      <c r="D15">
        <v>114.6</v>
      </c>
      <c r="E15">
        <v>113.4</v>
      </c>
      <c r="F15">
        <v>106</v>
      </c>
      <c r="G15">
        <v>104.7</v>
      </c>
      <c r="H15">
        <v>102.1</v>
      </c>
      <c r="I15">
        <v>109.5</v>
      </c>
      <c r="J15">
        <v>109.7</v>
      </c>
      <c r="K15">
        <v>104.6</v>
      </c>
      <c r="L15">
        <v>102</v>
      </c>
      <c r="M15">
        <v>103.5</v>
      </c>
      <c r="N15">
        <v>108.2</v>
      </c>
      <c r="O15">
        <v>110.6</v>
      </c>
      <c r="P15">
        <v>108.8</v>
      </c>
      <c r="Q15">
        <v>108.5</v>
      </c>
      <c r="R15">
        <v>107.9</v>
      </c>
      <c r="S15">
        <v>106.4</v>
      </c>
      <c r="T15">
        <v>107.7</v>
      </c>
      <c r="U15">
        <v>100.5</v>
      </c>
      <c r="V15">
        <v>106.4</v>
      </c>
      <c r="W15">
        <v>106.5</v>
      </c>
      <c r="X15">
        <v>105.7</v>
      </c>
      <c r="Y15">
        <v>105</v>
      </c>
      <c r="Z15">
        <v>104</v>
      </c>
      <c r="AA15">
        <v>105.2</v>
      </c>
      <c r="AB15">
        <v>103.2</v>
      </c>
      <c r="AC15">
        <v>105.1</v>
      </c>
      <c r="AD15">
        <v>105.7</v>
      </c>
    </row>
    <row r="16" spans="1:30" hidden="1" x14ac:dyDescent="0.3">
      <c r="A16" t="s">
        <v>34</v>
      </c>
      <c r="B16">
        <v>2013</v>
      </c>
      <c r="C16" t="s">
        <v>37</v>
      </c>
      <c r="D16">
        <v>111.6</v>
      </c>
      <c r="E16">
        <v>110.9</v>
      </c>
      <c r="F16">
        <v>106.6</v>
      </c>
      <c r="G16">
        <v>105.7</v>
      </c>
      <c r="H16">
        <v>104.4</v>
      </c>
      <c r="I16">
        <v>108.9</v>
      </c>
      <c r="J16">
        <v>105.5</v>
      </c>
      <c r="K16">
        <v>105.3</v>
      </c>
      <c r="L16">
        <v>103.5</v>
      </c>
      <c r="M16">
        <v>103.3</v>
      </c>
      <c r="N16">
        <v>107.2</v>
      </c>
      <c r="O16">
        <v>109.6</v>
      </c>
      <c r="P16">
        <v>107.7</v>
      </c>
      <c r="Q16">
        <v>107.5</v>
      </c>
      <c r="R16">
        <v>108</v>
      </c>
      <c r="S16">
        <v>107</v>
      </c>
      <c r="T16">
        <v>107.9</v>
      </c>
      <c r="U16">
        <v>100.5</v>
      </c>
      <c r="V16">
        <v>106.5</v>
      </c>
      <c r="W16">
        <v>106.3</v>
      </c>
      <c r="X16">
        <v>105.3</v>
      </c>
      <c r="Y16">
        <v>104.7</v>
      </c>
      <c r="Z16">
        <v>104.2</v>
      </c>
      <c r="AA16">
        <v>105</v>
      </c>
      <c r="AB16">
        <v>102.9</v>
      </c>
      <c r="AC16">
        <v>104.8</v>
      </c>
      <c r="AD16">
        <v>106.1</v>
      </c>
    </row>
    <row r="17" spans="1:30" hidden="1" x14ac:dyDescent="0.3">
      <c r="A17" t="s">
        <v>30</v>
      </c>
      <c r="B17">
        <v>2013</v>
      </c>
      <c r="C17" t="s">
        <v>38</v>
      </c>
      <c r="D17">
        <v>110.9</v>
      </c>
      <c r="E17">
        <v>109.8</v>
      </c>
      <c r="F17">
        <v>105.9</v>
      </c>
      <c r="G17">
        <v>107.5</v>
      </c>
      <c r="H17">
        <v>105.3</v>
      </c>
      <c r="I17">
        <v>108.1</v>
      </c>
      <c r="J17">
        <v>107.3</v>
      </c>
      <c r="K17">
        <v>106.1</v>
      </c>
      <c r="L17">
        <v>103.7</v>
      </c>
      <c r="M17">
        <v>104</v>
      </c>
      <c r="N17">
        <v>107.4</v>
      </c>
      <c r="O17">
        <v>109.9</v>
      </c>
      <c r="P17">
        <v>108.1</v>
      </c>
      <c r="Q17">
        <v>108.1</v>
      </c>
      <c r="R17">
        <v>108.8</v>
      </c>
      <c r="S17">
        <v>107.9</v>
      </c>
      <c r="T17">
        <v>108.6</v>
      </c>
      <c r="U17" t="s">
        <v>32</v>
      </c>
      <c r="V17">
        <v>107.5</v>
      </c>
      <c r="W17">
        <v>106.8</v>
      </c>
      <c r="X17">
        <v>105.7</v>
      </c>
      <c r="Y17">
        <v>104.1</v>
      </c>
      <c r="Z17">
        <v>105</v>
      </c>
      <c r="AA17">
        <v>105.5</v>
      </c>
      <c r="AB17">
        <v>102.1</v>
      </c>
      <c r="AC17">
        <v>104.8</v>
      </c>
      <c r="AD17">
        <v>107.2</v>
      </c>
    </row>
    <row r="18" spans="1:30" hidden="1" x14ac:dyDescent="0.3">
      <c r="A18" t="s">
        <v>33</v>
      </c>
      <c r="B18">
        <v>2013</v>
      </c>
      <c r="C18" t="s">
        <v>38</v>
      </c>
      <c r="D18">
        <v>115.4</v>
      </c>
      <c r="E18">
        <v>114.2</v>
      </c>
      <c r="F18">
        <v>102.7</v>
      </c>
      <c r="G18">
        <v>105.5</v>
      </c>
      <c r="H18">
        <v>101.5</v>
      </c>
      <c r="I18">
        <v>110.6</v>
      </c>
      <c r="J18">
        <v>123.7</v>
      </c>
      <c r="K18">
        <v>105.2</v>
      </c>
      <c r="L18">
        <v>101.9</v>
      </c>
      <c r="M18">
        <v>105</v>
      </c>
      <c r="N18">
        <v>109.1</v>
      </c>
      <c r="O18">
        <v>111.3</v>
      </c>
      <c r="P18">
        <v>111.1</v>
      </c>
      <c r="Q18">
        <v>109.8</v>
      </c>
      <c r="R18">
        <v>108.5</v>
      </c>
      <c r="S18">
        <v>106.7</v>
      </c>
      <c r="T18">
        <v>108.3</v>
      </c>
      <c r="U18">
        <v>100.5</v>
      </c>
      <c r="V18">
        <v>107.2</v>
      </c>
      <c r="W18">
        <v>107.1</v>
      </c>
      <c r="X18">
        <v>106.2</v>
      </c>
      <c r="Y18">
        <v>103.9</v>
      </c>
      <c r="Z18">
        <v>104.6</v>
      </c>
      <c r="AA18">
        <v>105.7</v>
      </c>
      <c r="AB18">
        <v>102.6</v>
      </c>
      <c r="AC18">
        <v>104.9</v>
      </c>
      <c r="AD18">
        <v>106.6</v>
      </c>
    </row>
    <row r="19" spans="1:30" hidden="1" x14ac:dyDescent="0.3">
      <c r="A19" t="s">
        <v>34</v>
      </c>
      <c r="B19">
        <v>2013</v>
      </c>
      <c r="C19" t="s">
        <v>38</v>
      </c>
      <c r="D19">
        <v>112.3</v>
      </c>
      <c r="E19">
        <v>111.3</v>
      </c>
      <c r="F19">
        <v>104.7</v>
      </c>
      <c r="G19">
        <v>106.8</v>
      </c>
      <c r="H19">
        <v>103.9</v>
      </c>
      <c r="I19">
        <v>109.3</v>
      </c>
      <c r="J19">
        <v>112.9</v>
      </c>
      <c r="K19">
        <v>105.8</v>
      </c>
      <c r="L19">
        <v>103.1</v>
      </c>
      <c r="M19">
        <v>104.3</v>
      </c>
      <c r="N19">
        <v>108.1</v>
      </c>
      <c r="O19">
        <v>110.5</v>
      </c>
      <c r="P19">
        <v>109.2</v>
      </c>
      <c r="Q19">
        <v>108.6</v>
      </c>
      <c r="R19">
        <v>108.7</v>
      </c>
      <c r="S19">
        <v>107.4</v>
      </c>
      <c r="T19">
        <v>108.5</v>
      </c>
      <c r="U19">
        <v>100.5</v>
      </c>
      <c r="V19">
        <v>107.4</v>
      </c>
      <c r="W19">
        <v>106.9</v>
      </c>
      <c r="X19">
        <v>105.9</v>
      </c>
      <c r="Y19">
        <v>104</v>
      </c>
      <c r="Z19">
        <v>104.8</v>
      </c>
      <c r="AA19">
        <v>105.6</v>
      </c>
      <c r="AB19">
        <v>102.3</v>
      </c>
      <c r="AC19">
        <v>104.8</v>
      </c>
      <c r="AD19">
        <v>106.9</v>
      </c>
    </row>
    <row r="20" spans="1:30" hidden="1" x14ac:dyDescent="0.3">
      <c r="A20" t="s">
        <v>30</v>
      </c>
      <c r="B20">
        <v>2013</v>
      </c>
      <c r="C20" t="s">
        <v>39</v>
      </c>
      <c r="D20">
        <v>112.3</v>
      </c>
      <c r="E20">
        <v>112.1</v>
      </c>
      <c r="F20">
        <v>108.1</v>
      </c>
      <c r="G20">
        <v>108.3</v>
      </c>
      <c r="H20">
        <v>105.9</v>
      </c>
      <c r="I20">
        <v>109.2</v>
      </c>
      <c r="J20">
        <v>118</v>
      </c>
      <c r="K20">
        <v>106.8</v>
      </c>
      <c r="L20">
        <v>104.1</v>
      </c>
      <c r="M20">
        <v>105.4</v>
      </c>
      <c r="N20">
        <v>108.2</v>
      </c>
      <c r="O20">
        <v>111</v>
      </c>
      <c r="P20">
        <v>110.6</v>
      </c>
      <c r="Q20">
        <v>109</v>
      </c>
      <c r="R20">
        <v>109.7</v>
      </c>
      <c r="S20">
        <v>108.8</v>
      </c>
      <c r="T20">
        <v>109.5</v>
      </c>
      <c r="U20" t="s">
        <v>32</v>
      </c>
      <c r="V20">
        <v>108.5</v>
      </c>
      <c r="W20">
        <v>107.5</v>
      </c>
      <c r="X20">
        <v>106.3</v>
      </c>
      <c r="Y20">
        <v>105</v>
      </c>
      <c r="Z20">
        <v>105.6</v>
      </c>
      <c r="AA20">
        <v>106.5</v>
      </c>
      <c r="AB20">
        <v>102.5</v>
      </c>
      <c r="AC20">
        <v>105.5</v>
      </c>
      <c r="AD20">
        <v>108.9</v>
      </c>
    </row>
    <row r="21" spans="1:30" hidden="1" x14ac:dyDescent="0.3">
      <c r="A21" t="s">
        <v>33</v>
      </c>
      <c r="B21">
        <v>2013</v>
      </c>
      <c r="C21" t="s">
        <v>39</v>
      </c>
      <c r="D21">
        <v>117</v>
      </c>
      <c r="E21">
        <v>120.1</v>
      </c>
      <c r="F21">
        <v>112.5</v>
      </c>
      <c r="G21">
        <v>107.3</v>
      </c>
      <c r="H21">
        <v>101.3</v>
      </c>
      <c r="I21">
        <v>112.4</v>
      </c>
      <c r="J21">
        <v>143.6</v>
      </c>
      <c r="K21">
        <v>105.4</v>
      </c>
      <c r="L21">
        <v>101.4</v>
      </c>
      <c r="M21">
        <v>106.4</v>
      </c>
      <c r="N21">
        <v>110</v>
      </c>
      <c r="O21">
        <v>112.2</v>
      </c>
      <c r="P21">
        <v>115</v>
      </c>
      <c r="Q21">
        <v>110.9</v>
      </c>
      <c r="R21">
        <v>109.2</v>
      </c>
      <c r="S21">
        <v>107.2</v>
      </c>
      <c r="T21">
        <v>108.9</v>
      </c>
      <c r="U21">
        <v>106.6</v>
      </c>
      <c r="V21">
        <v>108</v>
      </c>
      <c r="W21">
        <v>107.7</v>
      </c>
      <c r="X21">
        <v>106.5</v>
      </c>
      <c r="Y21">
        <v>105.2</v>
      </c>
      <c r="Z21">
        <v>105.2</v>
      </c>
      <c r="AA21">
        <v>108.1</v>
      </c>
      <c r="AB21">
        <v>103.3</v>
      </c>
      <c r="AC21">
        <v>106.1</v>
      </c>
      <c r="AD21">
        <v>109.7</v>
      </c>
    </row>
    <row r="22" spans="1:30" hidden="1" x14ac:dyDescent="0.3">
      <c r="A22" t="s">
        <v>34</v>
      </c>
      <c r="B22">
        <v>2013</v>
      </c>
      <c r="C22" t="s">
        <v>39</v>
      </c>
      <c r="D22">
        <v>113.8</v>
      </c>
      <c r="E22">
        <v>114.9</v>
      </c>
      <c r="F22">
        <v>109.8</v>
      </c>
      <c r="G22">
        <v>107.9</v>
      </c>
      <c r="H22">
        <v>104.2</v>
      </c>
      <c r="I22">
        <v>110.7</v>
      </c>
      <c r="J22">
        <v>126.7</v>
      </c>
      <c r="K22">
        <v>106.3</v>
      </c>
      <c r="L22">
        <v>103.2</v>
      </c>
      <c r="M22">
        <v>105.7</v>
      </c>
      <c r="N22">
        <v>109</v>
      </c>
      <c r="O22">
        <v>111.6</v>
      </c>
      <c r="P22">
        <v>112.2</v>
      </c>
      <c r="Q22">
        <v>109.5</v>
      </c>
      <c r="R22">
        <v>109.5</v>
      </c>
      <c r="S22">
        <v>108.1</v>
      </c>
      <c r="T22">
        <v>109.3</v>
      </c>
      <c r="U22">
        <v>106.6</v>
      </c>
      <c r="V22">
        <v>108.3</v>
      </c>
      <c r="W22">
        <v>107.6</v>
      </c>
      <c r="X22">
        <v>106.4</v>
      </c>
      <c r="Y22">
        <v>105.1</v>
      </c>
      <c r="Z22">
        <v>105.4</v>
      </c>
      <c r="AA22">
        <v>107.4</v>
      </c>
      <c r="AB22">
        <v>102.8</v>
      </c>
      <c r="AC22">
        <v>105.8</v>
      </c>
      <c r="AD22">
        <v>109.3</v>
      </c>
    </row>
    <row r="23" spans="1:30" hidden="1" x14ac:dyDescent="0.3">
      <c r="A23" t="s">
        <v>30</v>
      </c>
      <c r="B23">
        <v>2013</v>
      </c>
      <c r="C23" t="s">
        <v>40</v>
      </c>
      <c r="D23">
        <v>113.4</v>
      </c>
      <c r="E23">
        <v>114.9</v>
      </c>
      <c r="F23">
        <v>110.5</v>
      </c>
      <c r="G23">
        <v>109.3</v>
      </c>
      <c r="H23">
        <v>106.2</v>
      </c>
      <c r="I23">
        <v>110.3</v>
      </c>
      <c r="J23">
        <v>129.19999999999999</v>
      </c>
      <c r="K23">
        <v>107.1</v>
      </c>
      <c r="L23">
        <v>104.3</v>
      </c>
      <c r="M23">
        <v>106.4</v>
      </c>
      <c r="N23">
        <v>109.1</v>
      </c>
      <c r="O23">
        <v>112.1</v>
      </c>
      <c r="P23">
        <v>113.1</v>
      </c>
      <c r="Q23">
        <v>109.8</v>
      </c>
      <c r="R23">
        <v>110.5</v>
      </c>
      <c r="S23">
        <v>109.5</v>
      </c>
      <c r="T23">
        <v>110.3</v>
      </c>
      <c r="U23" t="s">
        <v>32</v>
      </c>
      <c r="V23">
        <v>109.5</v>
      </c>
      <c r="W23">
        <v>108.3</v>
      </c>
      <c r="X23">
        <v>106.9</v>
      </c>
      <c r="Y23">
        <v>106.8</v>
      </c>
      <c r="Z23">
        <v>106.4</v>
      </c>
      <c r="AA23">
        <v>107.8</v>
      </c>
      <c r="AB23">
        <v>102.5</v>
      </c>
      <c r="AC23">
        <v>106.5</v>
      </c>
      <c r="AD23">
        <v>110.7</v>
      </c>
    </row>
    <row r="24" spans="1:30" hidden="1" x14ac:dyDescent="0.3">
      <c r="A24" t="s">
        <v>33</v>
      </c>
      <c r="B24">
        <v>2013</v>
      </c>
      <c r="C24" t="s">
        <v>40</v>
      </c>
      <c r="D24">
        <v>117.8</v>
      </c>
      <c r="E24">
        <v>119.2</v>
      </c>
      <c r="F24">
        <v>114</v>
      </c>
      <c r="G24">
        <v>108.3</v>
      </c>
      <c r="H24">
        <v>101.1</v>
      </c>
      <c r="I24">
        <v>113.2</v>
      </c>
      <c r="J24">
        <v>160.9</v>
      </c>
      <c r="K24">
        <v>105.1</v>
      </c>
      <c r="L24">
        <v>101.3</v>
      </c>
      <c r="M24">
        <v>107.5</v>
      </c>
      <c r="N24">
        <v>110.4</v>
      </c>
      <c r="O24">
        <v>113.1</v>
      </c>
      <c r="P24">
        <v>117.5</v>
      </c>
      <c r="Q24">
        <v>111.7</v>
      </c>
      <c r="R24">
        <v>109.8</v>
      </c>
      <c r="S24">
        <v>107.8</v>
      </c>
      <c r="T24">
        <v>109.5</v>
      </c>
      <c r="U24">
        <v>107.7</v>
      </c>
      <c r="V24">
        <v>108.6</v>
      </c>
      <c r="W24">
        <v>108.1</v>
      </c>
      <c r="X24">
        <v>107.1</v>
      </c>
      <c r="Y24">
        <v>107.3</v>
      </c>
      <c r="Z24">
        <v>105.9</v>
      </c>
      <c r="AA24">
        <v>110.1</v>
      </c>
      <c r="AB24">
        <v>103.2</v>
      </c>
      <c r="AC24">
        <v>107.3</v>
      </c>
      <c r="AD24">
        <v>111.4</v>
      </c>
    </row>
    <row r="25" spans="1:30" hidden="1" x14ac:dyDescent="0.3">
      <c r="A25" t="s">
        <v>34</v>
      </c>
      <c r="B25">
        <v>2013</v>
      </c>
      <c r="C25" t="s">
        <v>40</v>
      </c>
      <c r="D25">
        <v>114.8</v>
      </c>
      <c r="E25">
        <v>116.4</v>
      </c>
      <c r="F25">
        <v>111.9</v>
      </c>
      <c r="G25">
        <v>108.9</v>
      </c>
      <c r="H25">
        <v>104.3</v>
      </c>
      <c r="I25">
        <v>111.7</v>
      </c>
      <c r="J25">
        <v>140</v>
      </c>
      <c r="K25">
        <v>106.4</v>
      </c>
      <c r="L25">
        <v>103.3</v>
      </c>
      <c r="M25">
        <v>106.8</v>
      </c>
      <c r="N25">
        <v>109.6</v>
      </c>
      <c r="O25">
        <v>112.6</v>
      </c>
      <c r="P25">
        <v>114.7</v>
      </c>
      <c r="Q25">
        <v>110.3</v>
      </c>
      <c r="R25">
        <v>110.2</v>
      </c>
      <c r="S25">
        <v>108.8</v>
      </c>
      <c r="T25">
        <v>110</v>
      </c>
      <c r="U25">
        <v>107.7</v>
      </c>
      <c r="V25">
        <v>109.2</v>
      </c>
      <c r="W25">
        <v>108.2</v>
      </c>
      <c r="X25">
        <v>107</v>
      </c>
      <c r="Y25">
        <v>107.1</v>
      </c>
      <c r="Z25">
        <v>106.1</v>
      </c>
      <c r="AA25">
        <v>109.1</v>
      </c>
      <c r="AB25">
        <v>102.8</v>
      </c>
      <c r="AC25">
        <v>106.9</v>
      </c>
      <c r="AD25">
        <v>111</v>
      </c>
    </row>
    <row r="26" spans="1:30" hidden="1" x14ac:dyDescent="0.3">
      <c r="A26" t="s">
        <v>30</v>
      </c>
      <c r="B26">
        <v>2013</v>
      </c>
      <c r="C26" t="s">
        <v>41</v>
      </c>
      <c r="D26">
        <v>114.3</v>
      </c>
      <c r="E26">
        <v>115.4</v>
      </c>
      <c r="F26">
        <v>111.1</v>
      </c>
      <c r="G26">
        <v>110</v>
      </c>
      <c r="H26">
        <v>106.4</v>
      </c>
      <c r="I26">
        <v>110.8</v>
      </c>
      <c r="J26">
        <v>138.9</v>
      </c>
      <c r="K26">
        <v>107.4</v>
      </c>
      <c r="L26">
        <v>104.1</v>
      </c>
      <c r="M26">
        <v>106.9</v>
      </c>
      <c r="N26">
        <v>109.7</v>
      </c>
      <c r="O26">
        <v>112.6</v>
      </c>
      <c r="P26">
        <v>114.9</v>
      </c>
      <c r="Q26">
        <v>110.7</v>
      </c>
      <c r="R26">
        <v>111.3</v>
      </c>
      <c r="S26">
        <v>110.2</v>
      </c>
      <c r="T26">
        <v>111.1</v>
      </c>
      <c r="U26" t="s">
        <v>32</v>
      </c>
      <c r="V26">
        <v>109.9</v>
      </c>
      <c r="W26">
        <v>108.7</v>
      </c>
      <c r="X26">
        <v>107.5</v>
      </c>
      <c r="Y26">
        <v>107.8</v>
      </c>
      <c r="Z26">
        <v>106.8</v>
      </c>
      <c r="AA26">
        <v>108.7</v>
      </c>
      <c r="AB26">
        <v>105</v>
      </c>
      <c r="AC26">
        <v>107.5</v>
      </c>
      <c r="AD26">
        <v>112.1</v>
      </c>
    </row>
    <row r="27" spans="1:30" hidden="1" x14ac:dyDescent="0.3">
      <c r="A27" t="s">
        <v>33</v>
      </c>
      <c r="B27">
        <v>2013</v>
      </c>
      <c r="C27" t="s">
        <v>41</v>
      </c>
      <c r="D27">
        <v>118.3</v>
      </c>
      <c r="E27">
        <v>120.4</v>
      </c>
      <c r="F27">
        <v>112.7</v>
      </c>
      <c r="G27">
        <v>108.9</v>
      </c>
      <c r="H27">
        <v>101.1</v>
      </c>
      <c r="I27">
        <v>108.7</v>
      </c>
      <c r="J27">
        <v>177</v>
      </c>
      <c r="K27">
        <v>104.7</v>
      </c>
      <c r="L27">
        <v>101</v>
      </c>
      <c r="M27">
        <v>108.5</v>
      </c>
      <c r="N27">
        <v>110.9</v>
      </c>
      <c r="O27">
        <v>114.3</v>
      </c>
      <c r="P27">
        <v>119.6</v>
      </c>
      <c r="Q27">
        <v>112.4</v>
      </c>
      <c r="R27">
        <v>110.6</v>
      </c>
      <c r="S27">
        <v>108.3</v>
      </c>
      <c r="T27">
        <v>110.2</v>
      </c>
      <c r="U27">
        <v>108.9</v>
      </c>
      <c r="V27">
        <v>109.3</v>
      </c>
      <c r="W27">
        <v>108.7</v>
      </c>
      <c r="X27">
        <v>107.6</v>
      </c>
      <c r="Y27">
        <v>108.1</v>
      </c>
      <c r="Z27">
        <v>106.5</v>
      </c>
      <c r="AA27">
        <v>110.8</v>
      </c>
      <c r="AB27">
        <v>106</v>
      </c>
      <c r="AC27">
        <v>108.3</v>
      </c>
      <c r="AD27">
        <v>112.7</v>
      </c>
    </row>
    <row r="28" spans="1:30" hidden="1" x14ac:dyDescent="0.3">
      <c r="A28" t="s">
        <v>34</v>
      </c>
      <c r="B28">
        <v>2013</v>
      </c>
      <c r="C28" t="s">
        <v>41</v>
      </c>
      <c r="D28">
        <v>115.6</v>
      </c>
      <c r="E28">
        <v>117.2</v>
      </c>
      <c r="F28">
        <v>111.7</v>
      </c>
      <c r="G28">
        <v>109.6</v>
      </c>
      <c r="H28">
        <v>104.5</v>
      </c>
      <c r="I28">
        <v>109.8</v>
      </c>
      <c r="J28">
        <v>151.80000000000001</v>
      </c>
      <c r="K28">
        <v>106.5</v>
      </c>
      <c r="L28">
        <v>103.1</v>
      </c>
      <c r="M28">
        <v>107.4</v>
      </c>
      <c r="N28">
        <v>110.2</v>
      </c>
      <c r="O28">
        <v>113.4</v>
      </c>
      <c r="P28">
        <v>116.6</v>
      </c>
      <c r="Q28">
        <v>111.2</v>
      </c>
      <c r="R28">
        <v>111</v>
      </c>
      <c r="S28">
        <v>109.4</v>
      </c>
      <c r="T28">
        <v>110.7</v>
      </c>
      <c r="U28">
        <v>108.9</v>
      </c>
      <c r="V28">
        <v>109.7</v>
      </c>
      <c r="W28">
        <v>108.7</v>
      </c>
      <c r="X28">
        <v>107.5</v>
      </c>
      <c r="Y28">
        <v>108</v>
      </c>
      <c r="Z28">
        <v>106.6</v>
      </c>
      <c r="AA28">
        <v>109.9</v>
      </c>
      <c r="AB28">
        <v>105.4</v>
      </c>
      <c r="AC28">
        <v>107.9</v>
      </c>
      <c r="AD28">
        <v>112.4</v>
      </c>
    </row>
    <row r="29" spans="1:30" hidden="1" x14ac:dyDescent="0.3">
      <c r="A29" t="s">
        <v>30</v>
      </c>
      <c r="B29">
        <v>2013</v>
      </c>
      <c r="C29" t="s">
        <v>42</v>
      </c>
      <c r="D29">
        <v>115.4</v>
      </c>
      <c r="E29">
        <v>115.7</v>
      </c>
      <c r="F29">
        <v>111.7</v>
      </c>
      <c r="G29">
        <v>111</v>
      </c>
      <c r="H29">
        <v>107.4</v>
      </c>
      <c r="I29">
        <v>110.9</v>
      </c>
      <c r="J29">
        <v>154</v>
      </c>
      <c r="K29">
        <v>108.1</v>
      </c>
      <c r="L29">
        <v>104.2</v>
      </c>
      <c r="M29">
        <v>107.9</v>
      </c>
      <c r="N29">
        <v>110.4</v>
      </c>
      <c r="O29">
        <v>114</v>
      </c>
      <c r="P29">
        <v>117.8</v>
      </c>
      <c r="Q29">
        <v>111.7</v>
      </c>
      <c r="R29">
        <v>112.7</v>
      </c>
      <c r="S29">
        <v>111.4</v>
      </c>
      <c r="T29">
        <v>112.5</v>
      </c>
      <c r="U29" t="s">
        <v>32</v>
      </c>
      <c r="V29">
        <v>111.1</v>
      </c>
      <c r="W29">
        <v>109.6</v>
      </c>
      <c r="X29">
        <v>108.3</v>
      </c>
      <c r="Y29">
        <v>109.3</v>
      </c>
      <c r="Z29">
        <v>107.7</v>
      </c>
      <c r="AA29">
        <v>109.8</v>
      </c>
      <c r="AB29">
        <v>106.7</v>
      </c>
      <c r="AC29">
        <v>108.7</v>
      </c>
      <c r="AD29">
        <v>114.2</v>
      </c>
    </row>
    <row r="30" spans="1:30" hidden="1" x14ac:dyDescent="0.3">
      <c r="A30" t="s">
        <v>33</v>
      </c>
      <c r="B30">
        <v>2013</v>
      </c>
      <c r="C30" t="s">
        <v>42</v>
      </c>
      <c r="D30">
        <v>118.6</v>
      </c>
      <c r="E30">
        <v>119.1</v>
      </c>
      <c r="F30">
        <v>113.2</v>
      </c>
      <c r="G30">
        <v>109.6</v>
      </c>
      <c r="H30">
        <v>101.7</v>
      </c>
      <c r="I30">
        <v>103.2</v>
      </c>
      <c r="J30">
        <v>174.3</v>
      </c>
      <c r="K30">
        <v>105.1</v>
      </c>
      <c r="L30">
        <v>100.8</v>
      </c>
      <c r="M30">
        <v>109.1</v>
      </c>
      <c r="N30">
        <v>111.1</v>
      </c>
      <c r="O30">
        <v>115.4</v>
      </c>
      <c r="P30">
        <v>119.2</v>
      </c>
      <c r="Q30">
        <v>112.9</v>
      </c>
      <c r="R30">
        <v>111.4</v>
      </c>
      <c r="S30">
        <v>109</v>
      </c>
      <c r="T30">
        <v>111.1</v>
      </c>
      <c r="U30">
        <v>109.7</v>
      </c>
      <c r="V30">
        <v>109.5</v>
      </c>
      <c r="W30">
        <v>109.6</v>
      </c>
      <c r="X30">
        <v>107.9</v>
      </c>
      <c r="Y30">
        <v>110.4</v>
      </c>
      <c r="Z30">
        <v>107.4</v>
      </c>
      <c r="AA30">
        <v>111.2</v>
      </c>
      <c r="AB30">
        <v>106.9</v>
      </c>
      <c r="AC30">
        <v>109.4</v>
      </c>
      <c r="AD30">
        <v>113.2</v>
      </c>
    </row>
    <row r="31" spans="1:30" hidden="1" x14ac:dyDescent="0.3">
      <c r="A31" t="s">
        <v>34</v>
      </c>
      <c r="B31">
        <v>2013</v>
      </c>
      <c r="C31" t="s">
        <v>42</v>
      </c>
      <c r="D31">
        <v>116.4</v>
      </c>
      <c r="E31">
        <v>116.9</v>
      </c>
      <c r="F31">
        <v>112.3</v>
      </c>
      <c r="G31">
        <v>110.5</v>
      </c>
      <c r="H31">
        <v>105.3</v>
      </c>
      <c r="I31">
        <v>107.3</v>
      </c>
      <c r="J31">
        <v>160.9</v>
      </c>
      <c r="K31">
        <v>107.1</v>
      </c>
      <c r="L31">
        <v>103.1</v>
      </c>
      <c r="M31">
        <v>108.3</v>
      </c>
      <c r="N31">
        <v>110.7</v>
      </c>
      <c r="O31">
        <v>114.6</v>
      </c>
      <c r="P31">
        <v>118.3</v>
      </c>
      <c r="Q31">
        <v>112</v>
      </c>
      <c r="R31">
        <v>112.2</v>
      </c>
      <c r="S31">
        <v>110.4</v>
      </c>
      <c r="T31">
        <v>111.9</v>
      </c>
      <c r="U31">
        <v>109.7</v>
      </c>
      <c r="V31">
        <v>110.5</v>
      </c>
      <c r="W31">
        <v>109.6</v>
      </c>
      <c r="X31">
        <v>108.1</v>
      </c>
      <c r="Y31">
        <v>109.9</v>
      </c>
      <c r="Z31">
        <v>107.5</v>
      </c>
      <c r="AA31">
        <v>110.6</v>
      </c>
      <c r="AB31">
        <v>106.8</v>
      </c>
      <c r="AC31">
        <v>109</v>
      </c>
      <c r="AD31">
        <v>113.7</v>
      </c>
    </row>
    <row r="32" spans="1:30" hidden="1" x14ac:dyDescent="0.3">
      <c r="A32" t="s">
        <v>30</v>
      </c>
      <c r="B32">
        <v>2013</v>
      </c>
      <c r="C32" t="s">
        <v>43</v>
      </c>
      <c r="D32">
        <v>116.3</v>
      </c>
      <c r="E32">
        <v>115.4</v>
      </c>
      <c r="F32">
        <v>112.6</v>
      </c>
      <c r="G32">
        <v>111.7</v>
      </c>
      <c r="H32">
        <v>107.7</v>
      </c>
      <c r="I32">
        <v>113.2</v>
      </c>
      <c r="J32">
        <v>164.9</v>
      </c>
      <c r="K32">
        <v>108.3</v>
      </c>
      <c r="L32">
        <v>103.9</v>
      </c>
      <c r="M32">
        <v>108.2</v>
      </c>
      <c r="N32">
        <v>111.1</v>
      </c>
      <c r="O32">
        <v>114.9</v>
      </c>
      <c r="P32">
        <v>119.8</v>
      </c>
      <c r="Q32">
        <v>112.2</v>
      </c>
      <c r="R32">
        <v>113.6</v>
      </c>
      <c r="S32">
        <v>112.3</v>
      </c>
      <c r="T32">
        <v>113.4</v>
      </c>
      <c r="U32" t="s">
        <v>32</v>
      </c>
      <c r="V32">
        <v>111.6</v>
      </c>
      <c r="W32">
        <v>110.4</v>
      </c>
      <c r="X32">
        <v>108.9</v>
      </c>
      <c r="Y32">
        <v>109.3</v>
      </c>
      <c r="Z32">
        <v>108.3</v>
      </c>
      <c r="AA32">
        <v>110.2</v>
      </c>
      <c r="AB32">
        <v>107.5</v>
      </c>
      <c r="AC32">
        <v>109.1</v>
      </c>
      <c r="AD32">
        <v>115.5</v>
      </c>
    </row>
    <row r="33" spans="1:30" hidden="1" x14ac:dyDescent="0.3">
      <c r="A33" t="s">
        <v>33</v>
      </c>
      <c r="B33">
        <v>2013</v>
      </c>
      <c r="C33" t="s">
        <v>43</v>
      </c>
      <c r="D33">
        <v>118.9</v>
      </c>
      <c r="E33">
        <v>118.1</v>
      </c>
      <c r="F33">
        <v>114.5</v>
      </c>
      <c r="G33">
        <v>110.4</v>
      </c>
      <c r="H33">
        <v>102.3</v>
      </c>
      <c r="I33">
        <v>106.2</v>
      </c>
      <c r="J33">
        <v>183.5</v>
      </c>
      <c r="K33">
        <v>105.3</v>
      </c>
      <c r="L33">
        <v>100.2</v>
      </c>
      <c r="M33">
        <v>109.6</v>
      </c>
      <c r="N33">
        <v>111.4</v>
      </c>
      <c r="O33">
        <v>116</v>
      </c>
      <c r="P33">
        <v>120.8</v>
      </c>
      <c r="Q33">
        <v>113.5</v>
      </c>
      <c r="R33">
        <v>112.5</v>
      </c>
      <c r="S33">
        <v>109.7</v>
      </c>
      <c r="T33">
        <v>112</v>
      </c>
      <c r="U33">
        <v>110.5</v>
      </c>
      <c r="V33">
        <v>109.7</v>
      </c>
      <c r="W33">
        <v>110.2</v>
      </c>
      <c r="X33">
        <v>108.2</v>
      </c>
      <c r="Y33">
        <v>109.7</v>
      </c>
      <c r="Z33">
        <v>108</v>
      </c>
      <c r="AA33">
        <v>111.3</v>
      </c>
      <c r="AB33">
        <v>107.3</v>
      </c>
      <c r="AC33">
        <v>109.4</v>
      </c>
      <c r="AD33">
        <v>114</v>
      </c>
    </row>
    <row r="34" spans="1:30" hidden="1" x14ac:dyDescent="0.3">
      <c r="A34" t="s">
        <v>34</v>
      </c>
      <c r="B34">
        <v>2013</v>
      </c>
      <c r="C34" t="s">
        <v>43</v>
      </c>
      <c r="D34">
        <v>117.1</v>
      </c>
      <c r="E34">
        <v>116.3</v>
      </c>
      <c r="F34">
        <v>113.3</v>
      </c>
      <c r="G34">
        <v>111.2</v>
      </c>
      <c r="H34">
        <v>105.7</v>
      </c>
      <c r="I34">
        <v>109.9</v>
      </c>
      <c r="J34">
        <v>171.2</v>
      </c>
      <c r="K34">
        <v>107.3</v>
      </c>
      <c r="L34">
        <v>102.7</v>
      </c>
      <c r="M34">
        <v>108.7</v>
      </c>
      <c r="N34">
        <v>111.2</v>
      </c>
      <c r="O34">
        <v>115.4</v>
      </c>
      <c r="P34">
        <v>120.2</v>
      </c>
      <c r="Q34">
        <v>112.5</v>
      </c>
      <c r="R34">
        <v>113.2</v>
      </c>
      <c r="S34">
        <v>111.2</v>
      </c>
      <c r="T34">
        <v>112.8</v>
      </c>
      <c r="U34">
        <v>110.5</v>
      </c>
      <c r="V34">
        <v>110.9</v>
      </c>
      <c r="W34">
        <v>110.3</v>
      </c>
      <c r="X34">
        <v>108.6</v>
      </c>
      <c r="Y34">
        <v>109.5</v>
      </c>
      <c r="Z34">
        <v>108.1</v>
      </c>
      <c r="AA34">
        <v>110.8</v>
      </c>
      <c r="AB34">
        <v>107.4</v>
      </c>
      <c r="AC34">
        <v>109.2</v>
      </c>
      <c r="AD34">
        <v>114.8</v>
      </c>
    </row>
    <row r="35" spans="1:30" hidden="1" x14ac:dyDescent="0.3">
      <c r="A35" t="s">
        <v>30</v>
      </c>
      <c r="B35">
        <v>2013</v>
      </c>
      <c r="C35" t="s">
        <v>44</v>
      </c>
      <c r="D35">
        <v>117.3</v>
      </c>
      <c r="E35">
        <v>114.9</v>
      </c>
      <c r="F35">
        <v>116.2</v>
      </c>
      <c r="G35">
        <v>112.8</v>
      </c>
      <c r="H35">
        <v>108.9</v>
      </c>
      <c r="I35">
        <v>116.6</v>
      </c>
      <c r="J35">
        <v>178.1</v>
      </c>
      <c r="K35">
        <v>109.1</v>
      </c>
      <c r="L35">
        <v>103.6</v>
      </c>
      <c r="M35">
        <v>109</v>
      </c>
      <c r="N35">
        <v>111.8</v>
      </c>
      <c r="O35">
        <v>116</v>
      </c>
      <c r="P35">
        <v>122.5</v>
      </c>
      <c r="Q35">
        <v>112.8</v>
      </c>
      <c r="R35">
        <v>114.6</v>
      </c>
      <c r="S35">
        <v>113.1</v>
      </c>
      <c r="T35">
        <v>114.4</v>
      </c>
      <c r="U35" t="s">
        <v>32</v>
      </c>
      <c r="V35">
        <v>112.6</v>
      </c>
      <c r="W35">
        <v>111.3</v>
      </c>
      <c r="X35">
        <v>109.7</v>
      </c>
      <c r="Y35">
        <v>109.6</v>
      </c>
      <c r="Z35">
        <v>108.7</v>
      </c>
      <c r="AA35">
        <v>111</v>
      </c>
      <c r="AB35">
        <v>108.2</v>
      </c>
      <c r="AC35">
        <v>109.8</v>
      </c>
      <c r="AD35">
        <v>117.4</v>
      </c>
    </row>
    <row r="36" spans="1:30" hidden="1" x14ac:dyDescent="0.3">
      <c r="A36" t="s">
        <v>33</v>
      </c>
      <c r="B36">
        <v>2013</v>
      </c>
      <c r="C36" t="s">
        <v>45</v>
      </c>
      <c r="D36">
        <v>119.8</v>
      </c>
      <c r="E36">
        <v>116.3</v>
      </c>
      <c r="F36">
        <v>122.6</v>
      </c>
      <c r="G36">
        <v>112</v>
      </c>
      <c r="H36">
        <v>103.2</v>
      </c>
      <c r="I36">
        <v>110</v>
      </c>
      <c r="J36">
        <v>192.8</v>
      </c>
      <c r="K36">
        <v>106.3</v>
      </c>
      <c r="L36">
        <v>99.5</v>
      </c>
      <c r="M36">
        <v>110.3</v>
      </c>
      <c r="N36">
        <v>111.8</v>
      </c>
      <c r="O36">
        <v>117.1</v>
      </c>
      <c r="P36">
        <v>122.9</v>
      </c>
      <c r="Q36">
        <v>114.1</v>
      </c>
      <c r="R36">
        <v>113.5</v>
      </c>
      <c r="S36">
        <v>110.3</v>
      </c>
      <c r="T36">
        <v>113</v>
      </c>
      <c r="U36">
        <v>111.1</v>
      </c>
      <c r="V36">
        <v>110</v>
      </c>
      <c r="W36">
        <v>110.9</v>
      </c>
      <c r="X36">
        <v>108.6</v>
      </c>
      <c r="Y36">
        <v>109.5</v>
      </c>
      <c r="Z36">
        <v>108.5</v>
      </c>
      <c r="AA36">
        <v>111.3</v>
      </c>
      <c r="AB36">
        <v>107.9</v>
      </c>
      <c r="AC36">
        <v>109.6</v>
      </c>
      <c r="AD36">
        <v>115</v>
      </c>
    </row>
    <row r="37" spans="1:30" hidden="1" x14ac:dyDescent="0.3">
      <c r="A37" t="s">
        <v>34</v>
      </c>
      <c r="B37">
        <v>2013</v>
      </c>
      <c r="C37" t="s">
        <v>45</v>
      </c>
      <c r="D37">
        <v>118.1</v>
      </c>
      <c r="E37">
        <v>115.4</v>
      </c>
      <c r="F37">
        <v>118.7</v>
      </c>
      <c r="G37">
        <v>112.5</v>
      </c>
      <c r="H37">
        <v>106.8</v>
      </c>
      <c r="I37">
        <v>113.5</v>
      </c>
      <c r="J37">
        <v>183.1</v>
      </c>
      <c r="K37">
        <v>108.2</v>
      </c>
      <c r="L37">
        <v>102.2</v>
      </c>
      <c r="M37">
        <v>109.4</v>
      </c>
      <c r="N37">
        <v>111.8</v>
      </c>
      <c r="O37">
        <v>116.5</v>
      </c>
      <c r="P37">
        <v>122.6</v>
      </c>
      <c r="Q37">
        <v>113.1</v>
      </c>
      <c r="R37">
        <v>114.2</v>
      </c>
      <c r="S37">
        <v>111.9</v>
      </c>
      <c r="T37">
        <v>113.8</v>
      </c>
      <c r="U37">
        <v>111.1</v>
      </c>
      <c r="V37">
        <v>111.6</v>
      </c>
      <c r="W37">
        <v>111.1</v>
      </c>
      <c r="X37">
        <v>109.3</v>
      </c>
      <c r="Y37">
        <v>109.5</v>
      </c>
      <c r="Z37">
        <v>108.6</v>
      </c>
      <c r="AA37">
        <v>111.2</v>
      </c>
      <c r="AB37">
        <v>108.1</v>
      </c>
      <c r="AC37">
        <v>109.7</v>
      </c>
      <c r="AD37">
        <v>116.3</v>
      </c>
    </row>
    <row r="38" spans="1:30" hidden="1" x14ac:dyDescent="0.3">
      <c r="A38" t="s">
        <v>30</v>
      </c>
      <c r="B38">
        <v>2013</v>
      </c>
      <c r="C38" t="s">
        <v>46</v>
      </c>
      <c r="D38">
        <v>118.4</v>
      </c>
      <c r="E38">
        <v>115.9</v>
      </c>
      <c r="F38">
        <v>120.4</v>
      </c>
      <c r="G38">
        <v>113.8</v>
      </c>
      <c r="H38">
        <v>109.5</v>
      </c>
      <c r="I38">
        <v>115.5</v>
      </c>
      <c r="J38">
        <v>145.69999999999999</v>
      </c>
      <c r="K38">
        <v>109.5</v>
      </c>
      <c r="L38">
        <v>102.9</v>
      </c>
      <c r="M38">
        <v>109.8</v>
      </c>
      <c r="N38">
        <v>112.1</v>
      </c>
      <c r="O38">
        <v>116.8</v>
      </c>
      <c r="P38">
        <v>118.7</v>
      </c>
      <c r="Q38">
        <v>113.6</v>
      </c>
      <c r="R38">
        <v>115.8</v>
      </c>
      <c r="S38">
        <v>114</v>
      </c>
      <c r="T38">
        <v>115.5</v>
      </c>
      <c r="U38" t="s">
        <v>32</v>
      </c>
      <c r="V38">
        <v>112.8</v>
      </c>
      <c r="W38">
        <v>112.1</v>
      </c>
      <c r="X38">
        <v>110.1</v>
      </c>
      <c r="Y38">
        <v>109.9</v>
      </c>
      <c r="Z38">
        <v>109.2</v>
      </c>
      <c r="AA38">
        <v>111.6</v>
      </c>
      <c r="AB38">
        <v>108.1</v>
      </c>
      <c r="AC38">
        <v>110.1</v>
      </c>
      <c r="AD38">
        <v>115.5</v>
      </c>
    </row>
    <row r="39" spans="1:30" hidden="1" x14ac:dyDescent="0.3">
      <c r="A39" t="s">
        <v>33</v>
      </c>
      <c r="B39">
        <v>2013</v>
      </c>
      <c r="C39" t="s">
        <v>46</v>
      </c>
      <c r="D39">
        <v>120.5</v>
      </c>
      <c r="E39">
        <v>118.1</v>
      </c>
      <c r="F39">
        <v>128.5</v>
      </c>
      <c r="G39">
        <v>112.8</v>
      </c>
      <c r="H39">
        <v>103.4</v>
      </c>
      <c r="I39">
        <v>110.7</v>
      </c>
      <c r="J39">
        <v>144.80000000000001</v>
      </c>
      <c r="K39">
        <v>107.1</v>
      </c>
      <c r="L39">
        <v>98.6</v>
      </c>
      <c r="M39">
        <v>111.9</v>
      </c>
      <c r="N39">
        <v>112.1</v>
      </c>
      <c r="O39">
        <v>118.1</v>
      </c>
      <c r="P39">
        <v>117.8</v>
      </c>
      <c r="Q39">
        <v>115</v>
      </c>
      <c r="R39">
        <v>114.2</v>
      </c>
      <c r="S39">
        <v>110.9</v>
      </c>
      <c r="T39">
        <v>113.7</v>
      </c>
      <c r="U39">
        <v>110.7</v>
      </c>
      <c r="V39">
        <v>110.4</v>
      </c>
      <c r="W39">
        <v>111.3</v>
      </c>
      <c r="X39">
        <v>109</v>
      </c>
      <c r="Y39">
        <v>109.7</v>
      </c>
      <c r="Z39">
        <v>108.9</v>
      </c>
      <c r="AA39">
        <v>111.4</v>
      </c>
      <c r="AB39">
        <v>107.7</v>
      </c>
      <c r="AC39">
        <v>109.8</v>
      </c>
      <c r="AD39">
        <v>113.3</v>
      </c>
    </row>
    <row r="40" spans="1:30" hidden="1" x14ac:dyDescent="0.3">
      <c r="A40" t="s">
        <v>34</v>
      </c>
      <c r="B40">
        <v>2013</v>
      </c>
      <c r="C40" t="s">
        <v>46</v>
      </c>
      <c r="D40">
        <v>119.1</v>
      </c>
      <c r="E40">
        <v>116.7</v>
      </c>
      <c r="F40">
        <v>123.5</v>
      </c>
      <c r="G40">
        <v>113.4</v>
      </c>
      <c r="H40">
        <v>107.3</v>
      </c>
      <c r="I40">
        <v>113.3</v>
      </c>
      <c r="J40">
        <v>145.4</v>
      </c>
      <c r="K40">
        <v>108.7</v>
      </c>
      <c r="L40">
        <v>101.5</v>
      </c>
      <c r="M40">
        <v>110.5</v>
      </c>
      <c r="N40">
        <v>112.1</v>
      </c>
      <c r="O40">
        <v>117.4</v>
      </c>
      <c r="P40">
        <v>118.4</v>
      </c>
      <c r="Q40">
        <v>114</v>
      </c>
      <c r="R40">
        <v>115.2</v>
      </c>
      <c r="S40">
        <v>112.7</v>
      </c>
      <c r="T40">
        <v>114.8</v>
      </c>
      <c r="U40">
        <v>110.7</v>
      </c>
      <c r="V40">
        <v>111.9</v>
      </c>
      <c r="W40">
        <v>111.7</v>
      </c>
      <c r="X40">
        <v>109.7</v>
      </c>
      <c r="Y40">
        <v>109.8</v>
      </c>
      <c r="Z40">
        <v>109</v>
      </c>
      <c r="AA40">
        <v>111.5</v>
      </c>
      <c r="AB40">
        <v>107.9</v>
      </c>
      <c r="AC40">
        <v>110</v>
      </c>
      <c r="AD40">
        <v>114.5</v>
      </c>
    </row>
    <row r="41" spans="1:30" hidden="1" x14ac:dyDescent="0.3">
      <c r="A41" t="s">
        <v>30</v>
      </c>
      <c r="B41">
        <v>2014</v>
      </c>
      <c r="C41" t="s">
        <v>31</v>
      </c>
      <c r="D41">
        <v>118.9</v>
      </c>
      <c r="E41">
        <v>117.1</v>
      </c>
      <c r="F41">
        <v>120.5</v>
      </c>
      <c r="G41">
        <v>114.4</v>
      </c>
      <c r="H41">
        <v>109</v>
      </c>
      <c r="I41">
        <v>115.5</v>
      </c>
      <c r="J41">
        <v>123.9</v>
      </c>
      <c r="K41">
        <v>109.6</v>
      </c>
      <c r="L41">
        <v>101.8</v>
      </c>
      <c r="M41">
        <v>110.2</v>
      </c>
      <c r="N41">
        <v>112.4</v>
      </c>
      <c r="O41">
        <v>117.3</v>
      </c>
      <c r="P41">
        <v>116</v>
      </c>
      <c r="Q41">
        <v>114</v>
      </c>
      <c r="R41">
        <v>116.5</v>
      </c>
      <c r="S41">
        <v>114.5</v>
      </c>
      <c r="T41">
        <v>116.2</v>
      </c>
      <c r="U41" t="s">
        <v>32</v>
      </c>
      <c r="V41">
        <v>113</v>
      </c>
      <c r="W41">
        <v>112.6</v>
      </c>
      <c r="X41">
        <v>110.6</v>
      </c>
      <c r="Y41">
        <v>110.5</v>
      </c>
      <c r="Z41">
        <v>109.6</v>
      </c>
      <c r="AA41">
        <v>111.8</v>
      </c>
      <c r="AB41">
        <v>108.3</v>
      </c>
      <c r="AC41">
        <v>110.6</v>
      </c>
      <c r="AD41">
        <v>114.2</v>
      </c>
    </row>
    <row r="42" spans="1:30" hidden="1" x14ac:dyDescent="0.3">
      <c r="A42" t="s">
        <v>33</v>
      </c>
      <c r="B42">
        <v>2014</v>
      </c>
      <c r="C42" t="s">
        <v>31</v>
      </c>
      <c r="D42">
        <v>121.2</v>
      </c>
      <c r="E42">
        <v>122</v>
      </c>
      <c r="F42">
        <v>129.9</v>
      </c>
      <c r="G42">
        <v>113.6</v>
      </c>
      <c r="H42">
        <v>102.9</v>
      </c>
      <c r="I42">
        <v>112.1</v>
      </c>
      <c r="J42">
        <v>118.9</v>
      </c>
      <c r="K42">
        <v>107.5</v>
      </c>
      <c r="L42">
        <v>96.9</v>
      </c>
      <c r="M42">
        <v>112.7</v>
      </c>
      <c r="N42">
        <v>112.1</v>
      </c>
      <c r="O42">
        <v>119</v>
      </c>
      <c r="P42">
        <v>115.5</v>
      </c>
      <c r="Q42">
        <v>115.7</v>
      </c>
      <c r="R42">
        <v>114.8</v>
      </c>
      <c r="S42">
        <v>111.3</v>
      </c>
      <c r="T42">
        <v>114.3</v>
      </c>
      <c r="U42">
        <v>111.6</v>
      </c>
      <c r="V42">
        <v>111</v>
      </c>
      <c r="W42">
        <v>111.9</v>
      </c>
      <c r="X42">
        <v>109.7</v>
      </c>
      <c r="Y42">
        <v>110.8</v>
      </c>
      <c r="Z42">
        <v>109.8</v>
      </c>
      <c r="AA42">
        <v>111.5</v>
      </c>
      <c r="AB42">
        <v>108</v>
      </c>
      <c r="AC42">
        <v>110.5</v>
      </c>
      <c r="AD42">
        <v>112.9</v>
      </c>
    </row>
    <row r="43" spans="1:30" hidden="1" x14ac:dyDescent="0.3">
      <c r="A43" t="s">
        <v>34</v>
      </c>
      <c r="B43">
        <v>2014</v>
      </c>
      <c r="C43" t="s">
        <v>31</v>
      </c>
      <c r="D43">
        <v>119.6</v>
      </c>
      <c r="E43">
        <v>118.8</v>
      </c>
      <c r="F43">
        <v>124.1</v>
      </c>
      <c r="G43">
        <v>114.1</v>
      </c>
      <c r="H43">
        <v>106.8</v>
      </c>
      <c r="I43">
        <v>113.9</v>
      </c>
      <c r="J43">
        <v>122.2</v>
      </c>
      <c r="K43">
        <v>108.9</v>
      </c>
      <c r="L43">
        <v>100.2</v>
      </c>
      <c r="M43">
        <v>111</v>
      </c>
      <c r="N43">
        <v>112.3</v>
      </c>
      <c r="O43">
        <v>118.1</v>
      </c>
      <c r="P43">
        <v>115.8</v>
      </c>
      <c r="Q43">
        <v>114.5</v>
      </c>
      <c r="R43">
        <v>115.8</v>
      </c>
      <c r="S43">
        <v>113.2</v>
      </c>
      <c r="T43">
        <v>115.4</v>
      </c>
      <c r="U43">
        <v>111.6</v>
      </c>
      <c r="V43">
        <v>112.2</v>
      </c>
      <c r="W43">
        <v>112.3</v>
      </c>
      <c r="X43">
        <v>110.3</v>
      </c>
      <c r="Y43">
        <v>110.7</v>
      </c>
      <c r="Z43">
        <v>109.7</v>
      </c>
      <c r="AA43">
        <v>111.6</v>
      </c>
      <c r="AB43">
        <v>108.2</v>
      </c>
      <c r="AC43">
        <v>110.6</v>
      </c>
      <c r="AD43">
        <v>113.6</v>
      </c>
    </row>
    <row r="44" spans="1:30" hidden="1" x14ac:dyDescent="0.3">
      <c r="A44" t="s">
        <v>30</v>
      </c>
      <c r="B44">
        <v>2014</v>
      </c>
      <c r="C44" t="s">
        <v>35</v>
      </c>
      <c r="D44">
        <v>119.4</v>
      </c>
      <c r="E44">
        <v>117.7</v>
      </c>
      <c r="F44">
        <v>121.2</v>
      </c>
      <c r="G44">
        <v>115</v>
      </c>
      <c r="H44">
        <v>109</v>
      </c>
      <c r="I44">
        <v>116.6</v>
      </c>
      <c r="J44">
        <v>116</v>
      </c>
      <c r="K44">
        <v>109.8</v>
      </c>
      <c r="L44">
        <v>101.1</v>
      </c>
      <c r="M44">
        <v>110.4</v>
      </c>
      <c r="N44">
        <v>112.9</v>
      </c>
      <c r="O44">
        <v>117.8</v>
      </c>
      <c r="P44">
        <v>115.3</v>
      </c>
      <c r="Q44">
        <v>114.2</v>
      </c>
      <c r="R44">
        <v>117.1</v>
      </c>
      <c r="S44">
        <v>114.5</v>
      </c>
      <c r="T44">
        <v>116.7</v>
      </c>
      <c r="U44" t="s">
        <v>32</v>
      </c>
      <c r="V44">
        <v>113.2</v>
      </c>
      <c r="W44">
        <v>112.9</v>
      </c>
      <c r="X44">
        <v>110.9</v>
      </c>
      <c r="Y44">
        <v>110.8</v>
      </c>
      <c r="Z44">
        <v>109.9</v>
      </c>
      <c r="AA44">
        <v>112</v>
      </c>
      <c r="AB44">
        <v>108.7</v>
      </c>
      <c r="AC44">
        <v>110.9</v>
      </c>
      <c r="AD44">
        <v>114</v>
      </c>
    </row>
    <row r="45" spans="1:30" hidden="1" x14ac:dyDescent="0.3">
      <c r="A45" t="s">
        <v>33</v>
      </c>
      <c r="B45">
        <v>2014</v>
      </c>
      <c r="C45" t="s">
        <v>35</v>
      </c>
      <c r="D45">
        <v>121.9</v>
      </c>
      <c r="E45">
        <v>122</v>
      </c>
      <c r="F45">
        <v>124.5</v>
      </c>
      <c r="G45">
        <v>115.2</v>
      </c>
      <c r="H45">
        <v>102.5</v>
      </c>
      <c r="I45">
        <v>114.1</v>
      </c>
      <c r="J45">
        <v>111.5</v>
      </c>
      <c r="K45">
        <v>108.2</v>
      </c>
      <c r="L45">
        <v>95.4</v>
      </c>
      <c r="M45">
        <v>113.5</v>
      </c>
      <c r="N45">
        <v>112.1</v>
      </c>
      <c r="O45">
        <v>119.9</v>
      </c>
      <c r="P45">
        <v>115.2</v>
      </c>
      <c r="Q45">
        <v>116.2</v>
      </c>
      <c r="R45">
        <v>115.3</v>
      </c>
      <c r="S45">
        <v>111.7</v>
      </c>
      <c r="T45">
        <v>114.7</v>
      </c>
      <c r="U45">
        <v>112.5</v>
      </c>
      <c r="V45">
        <v>111.1</v>
      </c>
      <c r="W45">
        <v>112.6</v>
      </c>
      <c r="X45">
        <v>110.4</v>
      </c>
      <c r="Y45">
        <v>111.3</v>
      </c>
      <c r="Z45">
        <v>110.3</v>
      </c>
      <c r="AA45">
        <v>111.6</v>
      </c>
      <c r="AB45">
        <v>108.7</v>
      </c>
      <c r="AC45">
        <v>111</v>
      </c>
      <c r="AD45">
        <v>113.1</v>
      </c>
    </row>
    <row r="46" spans="1:30" hidden="1" x14ac:dyDescent="0.3">
      <c r="A46" t="s">
        <v>34</v>
      </c>
      <c r="B46">
        <v>2014</v>
      </c>
      <c r="C46" t="s">
        <v>35</v>
      </c>
      <c r="D46">
        <v>120.2</v>
      </c>
      <c r="E46">
        <v>119.2</v>
      </c>
      <c r="F46">
        <v>122.5</v>
      </c>
      <c r="G46">
        <v>115.1</v>
      </c>
      <c r="H46">
        <v>106.6</v>
      </c>
      <c r="I46">
        <v>115.4</v>
      </c>
      <c r="J46">
        <v>114.5</v>
      </c>
      <c r="K46">
        <v>109.3</v>
      </c>
      <c r="L46">
        <v>99.2</v>
      </c>
      <c r="M46">
        <v>111.4</v>
      </c>
      <c r="N46">
        <v>112.6</v>
      </c>
      <c r="O46">
        <v>118.8</v>
      </c>
      <c r="P46">
        <v>115.3</v>
      </c>
      <c r="Q46">
        <v>114.7</v>
      </c>
      <c r="R46">
        <v>116.4</v>
      </c>
      <c r="S46">
        <v>113.3</v>
      </c>
      <c r="T46">
        <v>115.9</v>
      </c>
      <c r="U46">
        <v>112.5</v>
      </c>
      <c r="V46">
        <v>112.4</v>
      </c>
      <c r="W46">
        <v>112.8</v>
      </c>
      <c r="X46">
        <v>110.7</v>
      </c>
      <c r="Y46">
        <v>111.1</v>
      </c>
      <c r="Z46">
        <v>110.1</v>
      </c>
      <c r="AA46">
        <v>111.8</v>
      </c>
      <c r="AB46">
        <v>108.7</v>
      </c>
      <c r="AC46">
        <v>110.9</v>
      </c>
      <c r="AD46">
        <v>113.6</v>
      </c>
    </row>
    <row r="47" spans="1:30" hidden="1" x14ac:dyDescent="0.3">
      <c r="A47" t="s">
        <v>30</v>
      </c>
      <c r="B47">
        <v>2014</v>
      </c>
      <c r="C47" t="s">
        <v>36</v>
      </c>
      <c r="D47">
        <v>120.1</v>
      </c>
      <c r="E47">
        <v>118.1</v>
      </c>
      <c r="F47">
        <v>120.7</v>
      </c>
      <c r="G47">
        <v>116.1</v>
      </c>
      <c r="H47">
        <v>109.3</v>
      </c>
      <c r="I47">
        <v>119.6</v>
      </c>
      <c r="J47">
        <v>117.9</v>
      </c>
      <c r="K47">
        <v>110.2</v>
      </c>
      <c r="L47">
        <v>101.2</v>
      </c>
      <c r="M47">
        <v>110.7</v>
      </c>
      <c r="N47">
        <v>113</v>
      </c>
      <c r="O47">
        <v>118.3</v>
      </c>
      <c r="P47">
        <v>116.2</v>
      </c>
      <c r="Q47">
        <v>114.6</v>
      </c>
      <c r="R47">
        <v>117.5</v>
      </c>
      <c r="S47">
        <v>114.9</v>
      </c>
      <c r="T47">
        <v>117.2</v>
      </c>
      <c r="U47" t="s">
        <v>32</v>
      </c>
      <c r="V47">
        <v>113.4</v>
      </c>
      <c r="W47">
        <v>113.4</v>
      </c>
      <c r="X47">
        <v>111.4</v>
      </c>
      <c r="Y47">
        <v>111.2</v>
      </c>
      <c r="Z47">
        <v>110.2</v>
      </c>
      <c r="AA47">
        <v>112.4</v>
      </c>
      <c r="AB47">
        <v>108.9</v>
      </c>
      <c r="AC47">
        <v>111.3</v>
      </c>
      <c r="AD47">
        <v>114.6</v>
      </c>
    </row>
    <row r="48" spans="1:30" hidden="1" x14ac:dyDescent="0.3">
      <c r="A48" t="s">
        <v>33</v>
      </c>
      <c r="B48">
        <v>2014</v>
      </c>
      <c r="C48" t="s">
        <v>36</v>
      </c>
      <c r="D48">
        <v>122.1</v>
      </c>
      <c r="E48">
        <v>121.4</v>
      </c>
      <c r="F48">
        <v>121.5</v>
      </c>
      <c r="G48">
        <v>116.2</v>
      </c>
      <c r="H48">
        <v>102.8</v>
      </c>
      <c r="I48">
        <v>117.7</v>
      </c>
      <c r="J48">
        <v>113.3</v>
      </c>
      <c r="K48">
        <v>108.9</v>
      </c>
      <c r="L48">
        <v>96.3</v>
      </c>
      <c r="M48">
        <v>114.1</v>
      </c>
      <c r="N48">
        <v>112.2</v>
      </c>
      <c r="O48">
        <v>120.5</v>
      </c>
      <c r="P48">
        <v>116</v>
      </c>
      <c r="Q48">
        <v>116.7</v>
      </c>
      <c r="R48">
        <v>115.8</v>
      </c>
      <c r="S48">
        <v>112.1</v>
      </c>
      <c r="T48">
        <v>115.2</v>
      </c>
      <c r="U48">
        <v>113.2</v>
      </c>
      <c r="V48">
        <v>110.9</v>
      </c>
      <c r="W48">
        <v>113</v>
      </c>
      <c r="X48">
        <v>110.8</v>
      </c>
      <c r="Y48">
        <v>111.6</v>
      </c>
      <c r="Z48">
        <v>110.9</v>
      </c>
      <c r="AA48">
        <v>111.8</v>
      </c>
      <c r="AB48">
        <v>109.2</v>
      </c>
      <c r="AC48">
        <v>111.4</v>
      </c>
      <c r="AD48">
        <v>113.7</v>
      </c>
    </row>
    <row r="49" spans="1:30" hidden="1" x14ac:dyDescent="0.3">
      <c r="A49" t="s">
        <v>34</v>
      </c>
      <c r="B49">
        <v>2014</v>
      </c>
      <c r="C49" t="s">
        <v>47</v>
      </c>
      <c r="D49">
        <v>120.7</v>
      </c>
      <c r="E49">
        <v>119.3</v>
      </c>
      <c r="F49">
        <v>121</v>
      </c>
      <c r="G49">
        <v>116.1</v>
      </c>
      <c r="H49">
        <v>106.9</v>
      </c>
      <c r="I49">
        <v>118.7</v>
      </c>
      <c r="J49">
        <v>116.3</v>
      </c>
      <c r="K49">
        <v>109.8</v>
      </c>
      <c r="L49">
        <v>99.6</v>
      </c>
      <c r="M49">
        <v>111.8</v>
      </c>
      <c r="N49">
        <v>112.7</v>
      </c>
      <c r="O49">
        <v>119.3</v>
      </c>
      <c r="P49">
        <v>116.1</v>
      </c>
      <c r="Q49">
        <v>115.2</v>
      </c>
      <c r="R49">
        <v>116.8</v>
      </c>
      <c r="S49">
        <v>113.7</v>
      </c>
      <c r="T49">
        <v>116.4</v>
      </c>
      <c r="U49">
        <v>113.2</v>
      </c>
      <c r="V49">
        <v>112.5</v>
      </c>
      <c r="W49">
        <v>113.2</v>
      </c>
      <c r="X49">
        <v>111.2</v>
      </c>
      <c r="Y49">
        <v>111.4</v>
      </c>
      <c r="Z49">
        <v>110.6</v>
      </c>
      <c r="AA49">
        <v>112</v>
      </c>
      <c r="AB49">
        <v>109</v>
      </c>
      <c r="AC49">
        <v>111.3</v>
      </c>
      <c r="AD49">
        <v>114.2</v>
      </c>
    </row>
    <row r="50" spans="1:30" hidden="1" x14ac:dyDescent="0.3">
      <c r="A50" t="s">
        <v>30</v>
      </c>
      <c r="B50">
        <v>2014</v>
      </c>
      <c r="C50" t="s">
        <v>37</v>
      </c>
      <c r="D50">
        <v>120.2</v>
      </c>
      <c r="E50">
        <v>118.9</v>
      </c>
      <c r="F50">
        <v>118.1</v>
      </c>
      <c r="G50">
        <v>117</v>
      </c>
      <c r="H50">
        <v>109.7</v>
      </c>
      <c r="I50">
        <v>125.5</v>
      </c>
      <c r="J50">
        <v>120.5</v>
      </c>
      <c r="K50">
        <v>111</v>
      </c>
      <c r="L50">
        <v>102.6</v>
      </c>
      <c r="M50">
        <v>111.2</v>
      </c>
      <c r="N50">
        <v>113.5</v>
      </c>
      <c r="O50">
        <v>118.7</v>
      </c>
      <c r="P50">
        <v>117.2</v>
      </c>
      <c r="Q50">
        <v>115.4</v>
      </c>
      <c r="R50">
        <v>118.1</v>
      </c>
      <c r="S50">
        <v>116.1</v>
      </c>
      <c r="T50">
        <v>117.8</v>
      </c>
      <c r="U50" t="s">
        <v>32</v>
      </c>
      <c r="V50">
        <v>113.4</v>
      </c>
      <c r="W50">
        <v>113.7</v>
      </c>
      <c r="X50">
        <v>111.8</v>
      </c>
      <c r="Y50">
        <v>111.2</v>
      </c>
      <c r="Z50">
        <v>110.5</v>
      </c>
      <c r="AA50">
        <v>113</v>
      </c>
      <c r="AB50">
        <v>108.9</v>
      </c>
      <c r="AC50">
        <v>111.5</v>
      </c>
      <c r="AD50">
        <v>115.4</v>
      </c>
    </row>
    <row r="51" spans="1:30" hidden="1" x14ac:dyDescent="0.3">
      <c r="A51" t="s">
        <v>33</v>
      </c>
      <c r="B51">
        <v>2014</v>
      </c>
      <c r="C51" t="s">
        <v>37</v>
      </c>
      <c r="D51">
        <v>122.5</v>
      </c>
      <c r="E51">
        <v>121.7</v>
      </c>
      <c r="F51">
        <v>113.3</v>
      </c>
      <c r="G51">
        <v>117</v>
      </c>
      <c r="H51">
        <v>103.1</v>
      </c>
      <c r="I51">
        <v>126.7</v>
      </c>
      <c r="J51">
        <v>121.2</v>
      </c>
      <c r="K51">
        <v>111</v>
      </c>
      <c r="L51">
        <v>100.3</v>
      </c>
      <c r="M51">
        <v>115.3</v>
      </c>
      <c r="N51">
        <v>112.7</v>
      </c>
      <c r="O51">
        <v>121</v>
      </c>
      <c r="P51">
        <v>118.2</v>
      </c>
      <c r="Q51">
        <v>117.6</v>
      </c>
      <c r="R51">
        <v>116.3</v>
      </c>
      <c r="S51">
        <v>112.5</v>
      </c>
      <c r="T51">
        <v>115.7</v>
      </c>
      <c r="U51">
        <v>113.9</v>
      </c>
      <c r="V51">
        <v>110.9</v>
      </c>
      <c r="W51">
        <v>113.4</v>
      </c>
      <c r="X51">
        <v>111</v>
      </c>
      <c r="Y51">
        <v>111.2</v>
      </c>
      <c r="Z51">
        <v>111.2</v>
      </c>
      <c r="AA51">
        <v>112.5</v>
      </c>
      <c r="AB51">
        <v>109.1</v>
      </c>
      <c r="AC51">
        <v>111.4</v>
      </c>
      <c r="AD51">
        <v>114.7</v>
      </c>
    </row>
    <row r="52" spans="1:30" hidden="1" x14ac:dyDescent="0.3">
      <c r="A52" t="s">
        <v>34</v>
      </c>
      <c r="B52">
        <v>2014</v>
      </c>
      <c r="C52" t="s">
        <v>37</v>
      </c>
      <c r="D52">
        <v>120.9</v>
      </c>
      <c r="E52">
        <v>119.9</v>
      </c>
      <c r="F52">
        <v>116.2</v>
      </c>
      <c r="G52">
        <v>117</v>
      </c>
      <c r="H52">
        <v>107.3</v>
      </c>
      <c r="I52">
        <v>126.1</v>
      </c>
      <c r="J52">
        <v>120.7</v>
      </c>
      <c r="K52">
        <v>111</v>
      </c>
      <c r="L52">
        <v>101.8</v>
      </c>
      <c r="M52">
        <v>112.6</v>
      </c>
      <c r="N52">
        <v>113.2</v>
      </c>
      <c r="O52">
        <v>119.8</v>
      </c>
      <c r="P52">
        <v>117.6</v>
      </c>
      <c r="Q52">
        <v>116</v>
      </c>
      <c r="R52">
        <v>117.4</v>
      </c>
      <c r="S52">
        <v>114.6</v>
      </c>
      <c r="T52">
        <v>117</v>
      </c>
      <c r="U52">
        <v>113.9</v>
      </c>
      <c r="V52">
        <v>112.5</v>
      </c>
      <c r="W52">
        <v>113.6</v>
      </c>
      <c r="X52">
        <v>111.5</v>
      </c>
      <c r="Y52">
        <v>111.2</v>
      </c>
      <c r="Z52">
        <v>110.9</v>
      </c>
      <c r="AA52">
        <v>112.7</v>
      </c>
      <c r="AB52">
        <v>109</v>
      </c>
      <c r="AC52">
        <v>111.5</v>
      </c>
      <c r="AD52">
        <v>115.1</v>
      </c>
    </row>
    <row r="53" spans="1:30" hidden="1" x14ac:dyDescent="0.3">
      <c r="A53" t="s">
        <v>30</v>
      </c>
      <c r="B53">
        <v>2014</v>
      </c>
      <c r="C53" t="s">
        <v>38</v>
      </c>
      <c r="D53">
        <v>120.3</v>
      </c>
      <c r="E53">
        <v>120.2</v>
      </c>
      <c r="F53">
        <v>116.9</v>
      </c>
      <c r="G53">
        <v>118</v>
      </c>
      <c r="H53">
        <v>110.1</v>
      </c>
      <c r="I53">
        <v>126.3</v>
      </c>
      <c r="J53">
        <v>123.9</v>
      </c>
      <c r="K53">
        <v>111.5</v>
      </c>
      <c r="L53">
        <v>103.5</v>
      </c>
      <c r="M53">
        <v>111.6</v>
      </c>
      <c r="N53">
        <v>114.2</v>
      </c>
      <c r="O53">
        <v>119.2</v>
      </c>
      <c r="P53">
        <v>118.2</v>
      </c>
      <c r="Q53">
        <v>116.3</v>
      </c>
      <c r="R53">
        <v>118.7</v>
      </c>
      <c r="S53">
        <v>116.8</v>
      </c>
      <c r="T53">
        <v>118.5</v>
      </c>
      <c r="U53" t="s">
        <v>32</v>
      </c>
      <c r="V53">
        <v>113.4</v>
      </c>
      <c r="W53">
        <v>114.1</v>
      </c>
      <c r="X53">
        <v>112.1</v>
      </c>
      <c r="Y53">
        <v>111.4</v>
      </c>
      <c r="Z53">
        <v>110.9</v>
      </c>
      <c r="AA53">
        <v>113.1</v>
      </c>
      <c r="AB53">
        <v>108.9</v>
      </c>
      <c r="AC53">
        <v>111.8</v>
      </c>
      <c r="AD53">
        <v>116</v>
      </c>
    </row>
    <row r="54" spans="1:30" hidden="1" x14ac:dyDescent="0.3">
      <c r="A54" t="s">
        <v>33</v>
      </c>
      <c r="B54">
        <v>2014</v>
      </c>
      <c r="C54" t="s">
        <v>38</v>
      </c>
      <c r="D54">
        <v>122.7</v>
      </c>
      <c r="E54">
        <v>124.1</v>
      </c>
      <c r="F54">
        <v>114.2</v>
      </c>
      <c r="G54">
        <v>119.1</v>
      </c>
      <c r="H54">
        <v>103.5</v>
      </c>
      <c r="I54">
        <v>129.19999999999999</v>
      </c>
      <c r="J54">
        <v>127</v>
      </c>
      <c r="K54">
        <v>112.6</v>
      </c>
      <c r="L54">
        <v>101.3</v>
      </c>
      <c r="M54">
        <v>117</v>
      </c>
      <c r="N54">
        <v>112.9</v>
      </c>
      <c r="O54">
        <v>121.7</v>
      </c>
      <c r="P54">
        <v>120</v>
      </c>
      <c r="Q54">
        <v>118.3</v>
      </c>
      <c r="R54">
        <v>116.8</v>
      </c>
      <c r="S54">
        <v>112.9</v>
      </c>
      <c r="T54">
        <v>116.2</v>
      </c>
      <c r="U54">
        <v>114.3</v>
      </c>
      <c r="V54">
        <v>111.1</v>
      </c>
      <c r="W54">
        <v>114.1</v>
      </c>
      <c r="X54">
        <v>111.2</v>
      </c>
      <c r="Y54">
        <v>111.3</v>
      </c>
      <c r="Z54">
        <v>111.5</v>
      </c>
      <c r="AA54">
        <v>112.9</v>
      </c>
      <c r="AB54">
        <v>109.3</v>
      </c>
      <c r="AC54">
        <v>111.7</v>
      </c>
      <c r="AD54">
        <v>115.6</v>
      </c>
    </row>
    <row r="55" spans="1:30" hidden="1" x14ac:dyDescent="0.3">
      <c r="A55" t="s">
        <v>34</v>
      </c>
      <c r="B55">
        <v>2014</v>
      </c>
      <c r="C55" t="s">
        <v>38</v>
      </c>
      <c r="D55">
        <v>121.1</v>
      </c>
      <c r="E55">
        <v>121.6</v>
      </c>
      <c r="F55">
        <v>115.9</v>
      </c>
      <c r="G55">
        <v>118.4</v>
      </c>
      <c r="H55">
        <v>107.7</v>
      </c>
      <c r="I55">
        <v>127.7</v>
      </c>
      <c r="J55">
        <v>125</v>
      </c>
      <c r="K55">
        <v>111.9</v>
      </c>
      <c r="L55">
        <v>102.8</v>
      </c>
      <c r="M55">
        <v>113.4</v>
      </c>
      <c r="N55">
        <v>113.7</v>
      </c>
      <c r="O55">
        <v>120.4</v>
      </c>
      <c r="P55">
        <v>118.9</v>
      </c>
      <c r="Q55">
        <v>116.8</v>
      </c>
      <c r="R55">
        <v>118</v>
      </c>
      <c r="S55">
        <v>115.2</v>
      </c>
      <c r="T55">
        <v>117.6</v>
      </c>
      <c r="U55">
        <v>114.3</v>
      </c>
      <c r="V55">
        <v>112.5</v>
      </c>
      <c r="W55">
        <v>114.1</v>
      </c>
      <c r="X55">
        <v>111.8</v>
      </c>
      <c r="Y55">
        <v>111.3</v>
      </c>
      <c r="Z55">
        <v>111.2</v>
      </c>
      <c r="AA55">
        <v>113</v>
      </c>
      <c r="AB55">
        <v>109.1</v>
      </c>
      <c r="AC55">
        <v>111.8</v>
      </c>
      <c r="AD55">
        <v>115.8</v>
      </c>
    </row>
    <row r="56" spans="1:30" hidden="1" x14ac:dyDescent="0.3">
      <c r="A56" t="s">
        <v>30</v>
      </c>
      <c r="B56">
        <v>2014</v>
      </c>
      <c r="C56" t="s">
        <v>39</v>
      </c>
      <c r="D56">
        <v>120.7</v>
      </c>
      <c r="E56">
        <v>121.6</v>
      </c>
      <c r="F56">
        <v>116.1</v>
      </c>
      <c r="G56">
        <v>119.3</v>
      </c>
      <c r="H56">
        <v>110.3</v>
      </c>
      <c r="I56">
        <v>125.8</v>
      </c>
      <c r="J56">
        <v>129.30000000000001</v>
      </c>
      <c r="K56">
        <v>112.2</v>
      </c>
      <c r="L56">
        <v>103.6</v>
      </c>
      <c r="M56">
        <v>112.3</v>
      </c>
      <c r="N56">
        <v>114.9</v>
      </c>
      <c r="O56">
        <v>120.1</v>
      </c>
      <c r="P56">
        <v>119.5</v>
      </c>
      <c r="Q56">
        <v>117.3</v>
      </c>
      <c r="R56">
        <v>119.7</v>
      </c>
      <c r="S56">
        <v>117.3</v>
      </c>
      <c r="T56">
        <v>119.3</v>
      </c>
      <c r="U56" t="s">
        <v>32</v>
      </c>
      <c r="V56">
        <v>114.4</v>
      </c>
      <c r="W56">
        <v>114.9</v>
      </c>
      <c r="X56">
        <v>112.8</v>
      </c>
      <c r="Y56">
        <v>112.2</v>
      </c>
      <c r="Z56">
        <v>111.4</v>
      </c>
      <c r="AA56">
        <v>114.3</v>
      </c>
      <c r="AB56">
        <v>108</v>
      </c>
      <c r="AC56">
        <v>112.3</v>
      </c>
      <c r="AD56">
        <v>117</v>
      </c>
    </row>
    <row r="57" spans="1:30" hidden="1" x14ac:dyDescent="0.3">
      <c r="A57" t="s">
        <v>33</v>
      </c>
      <c r="B57">
        <v>2014</v>
      </c>
      <c r="C57" t="s">
        <v>39</v>
      </c>
      <c r="D57">
        <v>123.1</v>
      </c>
      <c r="E57">
        <v>125.9</v>
      </c>
      <c r="F57">
        <v>115.4</v>
      </c>
      <c r="G57">
        <v>120.4</v>
      </c>
      <c r="H57">
        <v>103.4</v>
      </c>
      <c r="I57">
        <v>131.19999999999999</v>
      </c>
      <c r="J57">
        <v>137.5</v>
      </c>
      <c r="K57">
        <v>112.8</v>
      </c>
      <c r="L57">
        <v>101.4</v>
      </c>
      <c r="M57">
        <v>118.3</v>
      </c>
      <c r="N57">
        <v>113.2</v>
      </c>
      <c r="O57">
        <v>122.4</v>
      </c>
      <c r="P57">
        <v>122</v>
      </c>
      <c r="Q57">
        <v>119</v>
      </c>
      <c r="R57">
        <v>117.4</v>
      </c>
      <c r="S57">
        <v>113.2</v>
      </c>
      <c r="T57">
        <v>116.7</v>
      </c>
      <c r="U57">
        <v>113.9</v>
      </c>
      <c r="V57">
        <v>111.2</v>
      </c>
      <c r="W57">
        <v>114.3</v>
      </c>
      <c r="X57">
        <v>111.4</v>
      </c>
      <c r="Y57">
        <v>111.5</v>
      </c>
      <c r="Z57">
        <v>111.8</v>
      </c>
      <c r="AA57">
        <v>115.1</v>
      </c>
      <c r="AB57">
        <v>108.7</v>
      </c>
      <c r="AC57">
        <v>112.2</v>
      </c>
      <c r="AD57">
        <v>116.4</v>
      </c>
    </row>
    <row r="58" spans="1:30" hidden="1" x14ac:dyDescent="0.3">
      <c r="A58" t="s">
        <v>34</v>
      </c>
      <c r="B58">
        <v>2014</v>
      </c>
      <c r="C58" t="s">
        <v>39</v>
      </c>
      <c r="D58">
        <v>121.5</v>
      </c>
      <c r="E58">
        <v>123.1</v>
      </c>
      <c r="F58">
        <v>115.8</v>
      </c>
      <c r="G58">
        <v>119.7</v>
      </c>
      <c r="H58">
        <v>107.8</v>
      </c>
      <c r="I58">
        <v>128.30000000000001</v>
      </c>
      <c r="J58">
        <v>132.1</v>
      </c>
      <c r="K58">
        <v>112.4</v>
      </c>
      <c r="L58">
        <v>102.9</v>
      </c>
      <c r="M58">
        <v>114.3</v>
      </c>
      <c r="N58">
        <v>114.2</v>
      </c>
      <c r="O58">
        <v>121.2</v>
      </c>
      <c r="P58">
        <v>120.4</v>
      </c>
      <c r="Q58">
        <v>117.8</v>
      </c>
      <c r="R58">
        <v>118.8</v>
      </c>
      <c r="S58">
        <v>115.6</v>
      </c>
      <c r="T58">
        <v>118.3</v>
      </c>
      <c r="U58">
        <v>113.9</v>
      </c>
      <c r="V58">
        <v>113.2</v>
      </c>
      <c r="W58">
        <v>114.6</v>
      </c>
      <c r="X58">
        <v>112.3</v>
      </c>
      <c r="Y58">
        <v>111.8</v>
      </c>
      <c r="Z58">
        <v>111.6</v>
      </c>
      <c r="AA58">
        <v>114.8</v>
      </c>
      <c r="AB58">
        <v>108.3</v>
      </c>
      <c r="AC58">
        <v>112.3</v>
      </c>
      <c r="AD58">
        <v>116.7</v>
      </c>
    </row>
    <row r="59" spans="1:30" hidden="1" x14ac:dyDescent="0.3">
      <c r="A59" t="s">
        <v>30</v>
      </c>
      <c r="B59">
        <v>2014</v>
      </c>
      <c r="C59" t="s">
        <v>40</v>
      </c>
      <c r="D59">
        <v>121.7</v>
      </c>
      <c r="E59">
        <v>122.5</v>
      </c>
      <c r="F59">
        <v>117.7</v>
      </c>
      <c r="G59">
        <v>120.6</v>
      </c>
      <c r="H59">
        <v>110.4</v>
      </c>
      <c r="I59">
        <v>129.1</v>
      </c>
      <c r="J59">
        <v>150.1</v>
      </c>
      <c r="K59">
        <v>113.2</v>
      </c>
      <c r="L59">
        <v>104.8</v>
      </c>
      <c r="M59">
        <v>113.3</v>
      </c>
      <c r="N59">
        <v>115.6</v>
      </c>
      <c r="O59">
        <v>120.9</v>
      </c>
      <c r="P59">
        <v>123.3</v>
      </c>
      <c r="Q59">
        <v>118</v>
      </c>
      <c r="R59">
        <v>120.7</v>
      </c>
      <c r="S59">
        <v>118.3</v>
      </c>
      <c r="T59">
        <v>120.3</v>
      </c>
      <c r="U59" t="s">
        <v>32</v>
      </c>
      <c r="V59">
        <v>115.3</v>
      </c>
      <c r="W59">
        <v>115.4</v>
      </c>
      <c r="X59">
        <v>113.4</v>
      </c>
      <c r="Y59">
        <v>113.2</v>
      </c>
      <c r="Z59">
        <v>111.8</v>
      </c>
      <c r="AA59">
        <v>115.5</v>
      </c>
      <c r="AB59">
        <v>108.8</v>
      </c>
      <c r="AC59">
        <v>113.1</v>
      </c>
      <c r="AD59">
        <v>119.5</v>
      </c>
    </row>
    <row r="60" spans="1:30" hidden="1" x14ac:dyDescent="0.3">
      <c r="A60" t="s">
        <v>33</v>
      </c>
      <c r="B60">
        <v>2014</v>
      </c>
      <c r="C60" t="s">
        <v>40</v>
      </c>
      <c r="D60">
        <v>123.8</v>
      </c>
      <c r="E60">
        <v>126.4</v>
      </c>
      <c r="F60">
        <v>118</v>
      </c>
      <c r="G60">
        <v>121.6</v>
      </c>
      <c r="H60">
        <v>103.5</v>
      </c>
      <c r="I60">
        <v>133.69999999999999</v>
      </c>
      <c r="J60">
        <v>172.4</v>
      </c>
      <c r="K60">
        <v>113.1</v>
      </c>
      <c r="L60">
        <v>102.7</v>
      </c>
      <c r="M60">
        <v>120</v>
      </c>
      <c r="N60">
        <v>113.8</v>
      </c>
      <c r="O60">
        <v>123.4</v>
      </c>
      <c r="P60">
        <v>127.1</v>
      </c>
      <c r="Q60">
        <v>121</v>
      </c>
      <c r="R60">
        <v>118</v>
      </c>
      <c r="S60">
        <v>113.6</v>
      </c>
      <c r="T60">
        <v>117.4</v>
      </c>
      <c r="U60">
        <v>114.8</v>
      </c>
      <c r="V60">
        <v>111.6</v>
      </c>
      <c r="W60">
        <v>114.9</v>
      </c>
      <c r="X60">
        <v>111.5</v>
      </c>
      <c r="Y60">
        <v>113</v>
      </c>
      <c r="Z60">
        <v>112.4</v>
      </c>
      <c r="AA60">
        <v>117.8</v>
      </c>
      <c r="AB60">
        <v>109.7</v>
      </c>
      <c r="AC60">
        <v>113.5</v>
      </c>
      <c r="AD60">
        <v>118.9</v>
      </c>
    </row>
    <row r="61" spans="1:30" hidden="1" x14ac:dyDescent="0.3">
      <c r="A61" t="s">
        <v>34</v>
      </c>
      <c r="B61">
        <v>2014</v>
      </c>
      <c r="C61" t="s">
        <v>40</v>
      </c>
      <c r="D61">
        <v>122.4</v>
      </c>
      <c r="E61">
        <v>123.9</v>
      </c>
      <c r="F61">
        <v>117.8</v>
      </c>
      <c r="G61">
        <v>121</v>
      </c>
      <c r="H61">
        <v>107.9</v>
      </c>
      <c r="I61">
        <v>131.19999999999999</v>
      </c>
      <c r="J61">
        <v>157.69999999999999</v>
      </c>
      <c r="K61">
        <v>113.2</v>
      </c>
      <c r="L61">
        <v>104.1</v>
      </c>
      <c r="M61">
        <v>115.5</v>
      </c>
      <c r="N61">
        <v>114.8</v>
      </c>
      <c r="O61">
        <v>122.1</v>
      </c>
      <c r="P61">
        <v>124.7</v>
      </c>
      <c r="Q61">
        <v>118.8</v>
      </c>
      <c r="R61">
        <v>119.6</v>
      </c>
      <c r="S61">
        <v>116.3</v>
      </c>
      <c r="T61">
        <v>119.1</v>
      </c>
      <c r="U61">
        <v>114.8</v>
      </c>
      <c r="V61">
        <v>113.9</v>
      </c>
      <c r="W61">
        <v>115.2</v>
      </c>
      <c r="X61">
        <v>112.7</v>
      </c>
      <c r="Y61">
        <v>113.1</v>
      </c>
      <c r="Z61">
        <v>112.1</v>
      </c>
      <c r="AA61">
        <v>116.8</v>
      </c>
      <c r="AB61">
        <v>109.2</v>
      </c>
      <c r="AC61">
        <v>113.3</v>
      </c>
      <c r="AD61">
        <v>119.2</v>
      </c>
    </row>
    <row r="62" spans="1:30" hidden="1" x14ac:dyDescent="0.3">
      <c r="A62" t="s">
        <v>30</v>
      </c>
      <c r="B62">
        <v>2014</v>
      </c>
      <c r="C62" t="s">
        <v>41</v>
      </c>
      <c r="D62">
        <v>121.8</v>
      </c>
      <c r="E62">
        <v>122.8</v>
      </c>
      <c r="F62">
        <v>117.8</v>
      </c>
      <c r="G62">
        <v>121.9</v>
      </c>
      <c r="H62">
        <v>110.6</v>
      </c>
      <c r="I62">
        <v>129.69999999999999</v>
      </c>
      <c r="J62">
        <v>161.1</v>
      </c>
      <c r="K62">
        <v>114.1</v>
      </c>
      <c r="L62">
        <v>105.1</v>
      </c>
      <c r="M62">
        <v>114.6</v>
      </c>
      <c r="N62">
        <v>115.8</v>
      </c>
      <c r="O62">
        <v>121.7</v>
      </c>
      <c r="P62">
        <v>125.3</v>
      </c>
      <c r="Q62">
        <v>118.8</v>
      </c>
      <c r="R62">
        <v>120.9</v>
      </c>
      <c r="S62">
        <v>118.8</v>
      </c>
      <c r="T62">
        <v>120.7</v>
      </c>
      <c r="U62" t="s">
        <v>32</v>
      </c>
      <c r="V62">
        <v>115.4</v>
      </c>
      <c r="W62">
        <v>115.9</v>
      </c>
      <c r="X62">
        <v>114</v>
      </c>
      <c r="Y62">
        <v>113.2</v>
      </c>
      <c r="Z62">
        <v>112.2</v>
      </c>
      <c r="AA62">
        <v>116.2</v>
      </c>
      <c r="AB62">
        <v>109.4</v>
      </c>
      <c r="AC62">
        <v>113.5</v>
      </c>
      <c r="AD62">
        <v>120.7</v>
      </c>
    </row>
    <row r="63" spans="1:30" hidden="1" x14ac:dyDescent="0.3">
      <c r="A63" t="s">
        <v>33</v>
      </c>
      <c r="B63">
        <v>2014</v>
      </c>
      <c r="C63" t="s">
        <v>41</v>
      </c>
      <c r="D63">
        <v>124.8</v>
      </c>
      <c r="E63">
        <v>127.3</v>
      </c>
      <c r="F63">
        <v>116.5</v>
      </c>
      <c r="G63">
        <v>122.2</v>
      </c>
      <c r="H63">
        <v>103.6</v>
      </c>
      <c r="I63">
        <v>132.69999999999999</v>
      </c>
      <c r="J63">
        <v>181.9</v>
      </c>
      <c r="K63">
        <v>115.2</v>
      </c>
      <c r="L63">
        <v>102.7</v>
      </c>
      <c r="M63">
        <v>122.1</v>
      </c>
      <c r="N63">
        <v>114.4</v>
      </c>
      <c r="O63">
        <v>124.7</v>
      </c>
      <c r="P63">
        <v>128.9</v>
      </c>
      <c r="Q63">
        <v>123</v>
      </c>
      <c r="R63">
        <v>118.6</v>
      </c>
      <c r="S63">
        <v>114.1</v>
      </c>
      <c r="T63">
        <v>117.9</v>
      </c>
      <c r="U63">
        <v>115.5</v>
      </c>
      <c r="V63">
        <v>111.8</v>
      </c>
      <c r="W63">
        <v>115.3</v>
      </c>
      <c r="X63">
        <v>112.2</v>
      </c>
      <c r="Y63">
        <v>112.5</v>
      </c>
      <c r="Z63">
        <v>112.9</v>
      </c>
      <c r="AA63">
        <v>119.2</v>
      </c>
      <c r="AB63">
        <v>110.5</v>
      </c>
      <c r="AC63">
        <v>113.9</v>
      </c>
      <c r="AD63">
        <v>119.9</v>
      </c>
    </row>
    <row r="64" spans="1:30" hidden="1" x14ac:dyDescent="0.3">
      <c r="A64" t="s">
        <v>34</v>
      </c>
      <c r="B64">
        <v>2014</v>
      </c>
      <c r="C64" t="s">
        <v>41</v>
      </c>
      <c r="D64">
        <v>122.7</v>
      </c>
      <c r="E64">
        <v>124.4</v>
      </c>
      <c r="F64">
        <v>117.3</v>
      </c>
      <c r="G64">
        <v>122</v>
      </c>
      <c r="H64">
        <v>108</v>
      </c>
      <c r="I64">
        <v>131.1</v>
      </c>
      <c r="J64">
        <v>168.2</v>
      </c>
      <c r="K64">
        <v>114.5</v>
      </c>
      <c r="L64">
        <v>104.3</v>
      </c>
      <c r="M64">
        <v>117.1</v>
      </c>
      <c r="N64">
        <v>115.2</v>
      </c>
      <c r="O64">
        <v>123.1</v>
      </c>
      <c r="P64">
        <v>126.6</v>
      </c>
      <c r="Q64">
        <v>119.9</v>
      </c>
      <c r="R64">
        <v>120</v>
      </c>
      <c r="S64">
        <v>116.8</v>
      </c>
      <c r="T64">
        <v>119.6</v>
      </c>
      <c r="U64">
        <v>115.5</v>
      </c>
      <c r="V64">
        <v>114</v>
      </c>
      <c r="W64">
        <v>115.6</v>
      </c>
      <c r="X64">
        <v>113.3</v>
      </c>
      <c r="Y64">
        <v>112.8</v>
      </c>
      <c r="Z64">
        <v>112.6</v>
      </c>
      <c r="AA64">
        <v>118</v>
      </c>
      <c r="AB64">
        <v>109.9</v>
      </c>
      <c r="AC64">
        <v>113.7</v>
      </c>
      <c r="AD64">
        <v>120.3</v>
      </c>
    </row>
    <row r="65" spans="1:30" hidden="1" x14ac:dyDescent="0.3">
      <c r="A65" t="s">
        <v>30</v>
      </c>
      <c r="B65">
        <v>2014</v>
      </c>
      <c r="C65" t="s">
        <v>42</v>
      </c>
      <c r="D65">
        <v>122.3</v>
      </c>
      <c r="E65">
        <v>122.4</v>
      </c>
      <c r="F65">
        <v>117.8</v>
      </c>
      <c r="G65">
        <v>122.7</v>
      </c>
      <c r="H65">
        <v>110.4</v>
      </c>
      <c r="I65">
        <v>129.80000000000001</v>
      </c>
      <c r="J65">
        <v>158.80000000000001</v>
      </c>
      <c r="K65">
        <v>115</v>
      </c>
      <c r="L65">
        <v>104.7</v>
      </c>
      <c r="M65">
        <v>114.9</v>
      </c>
      <c r="N65">
        <v>116.5</v>
      </c>
      <c r="O65">
        <v>122.6</v>
      </c>
      <c r="P65">
        <v>125.3</v>
      </c>
      <c r="Q65">
        <v>119.5</v>
      </c>
      <c r="R65">
        <v>121.7</v>
      </c>
      <c r="S65">
        <v>119.2</v>
      </c>
      <c r="T65">
        <v>121.3</v>
      </c>
      <c r="U65" t="s">
        <v>32</v>
      </c>
      <c r="V65">
        <v>115.8</v>
      </c>
      <c r="W65">
        <v>116.7</v>
      </c>
      <c r="X65">
        <v>114.5</v>
      </c>
      <c r="Y65">
        <v>112.8</v>
      </c>
      <c r="Z65">
        <v>112.6</v>
      </c>
      <c r="AA65">
        <v>116.6</v>
      </c>
      <c r="AB65">
        <v>109.1</v>
      </c>
      <c r="AC65">
        <v>113.7</v>
      </c>
      <c r="AD65">
        <v>120.9</v>
      </c>
    </row>
    <row r="66" spans="1:30" hidden="1" x14ac:dyDescent="0.3">
      <c r="A66" t="s">
        <v>33</v>
      </c>
      <c r="B66">
        <v>2014</v>
      </c>
      <c r="C66" t="s">
        <v>42</v>
      </c>
      <c r="D66">
        <v>124.2</v>
      </c>
      <c r="E66">
        <v>125.4</v>
      </c>
      <c r="F66">
        <v>116.4</v>
      </c>
      <c r="G66">
        <v>122.7</v>
      </c>
      <c r="H66">
        <v>103.5</v>
      </c>
      <c r="I66">
        <v>124.5</v>
      </c>
      <c r="J66">
        <v>168.6</v>
      </c>
      <c r="K66">
        <v>116.9</v>
      </c>
      <c r="L66">
        <v>101.9</v>
      </c>
      <c r="M66">
        <v>122.9</v>
      </c>
      <c r="N66">
        <v>114.8</v>
      </c>
      <c r="O66">
        <v>125.2</v>
      </c>
      <c r="P66">
        <v>126.7</v>
      </c>
      <c r="Q66">
        <v>124.3</v>
      </c>
      <c r="R66">
        <v>119.2</v>
      </c>
      <c r="S66">
        <v>114.5</v>
      </c>
      <c r="T66">
        <v>118.4</v>
      </c>
      <c r="U66">
        <v>116.1</v>
      </c>
      <c r="V66">
        <v>111.8</v>
      </c>
      <c r="W66">
        <v>115.5</v>
      </c>
      <c r="X66">
        <v>112.3</v>
      </c>
      <c r="Y66">
        <v>111.2</v>
      </c>
      <c r="Z66">
        <v>113.4</v>
      </c>
      <c r="AA66">
        <v>120</v>
      </c>
      <c r="AB66">
        <v>110</v>
      </c>
      <c r="AC66">
        <v>113.6</v>
      </c>
      <c r="AD66">
        <v>119.2</v>
      </c>
    </row>
    <row r="67" spans="1:30" hidden="1" x14ac:dyDescent="0.3">
      <c r="A67" t="s">
        <v>34</v>
      </c>
      <c r="B67">
        <v>2014</v>
      </c>
      <c r="C67" t="s">
        <v>42</v>
      </c>
      <c r="D67">
        <v>122.9</v>
      </c>
      <c r="E67">
        <v>123.5</v>
      </c>
      <c r="F67">
        <v>117.3</v>
      </c>
      <c r="G67">
        <v>122.7</v>
      </c>
      <c r="H67">
        <v>107.9</v>
      </c>
      <c r="I67">
        <v>127.3</v>
      </c>
      <c r="J67">
        <v>162.1</v>
      </c>
      <c r="K67">
        <v>115.6</v>
      </c>
      <c r="L67">
        <v>103.8</v>
      </c>
      <c r="M67">
        <v>117.6</v>
      </c>
      <c r="N67">
        <v>115.8</v>
      </c>
      <c r="O67">
        <v>123.8</v>
      </c>
      <c r="P67">
        <v>125.8</v>
      </c>
      <c r="Q67">
        <v>120.8</v>
      </c>
      <c r="R67">
        <v>120.7</v>
      </c>
      <c r="S67">
        <v>117.2</v>
      </c>
      <c r="T67">
        <v>120.1</v>
      </c>
      <c r="U67">
        <v>116.1</v>
      </c>
      <c r="V67">
        <v>114.3</v>
      </c>
      <c r="W67">
        <v>116.1</v>
      </c>
      <c r="X67">
        <v>113.7</v>
      </c>
      <c r="Y67">
        <v>112</v>
      </c>
      <c r="Z67">
        <v>113.1</v>
      </c>
      <c r="AA67">
        <v>118.6</v>
      </c>
      <c r="AB67">
        <v>109.5</v>
      </c>
      <c r="AC67">
        <v>113.7</v>
      </c>
      <c r="AD67">
        <v>120.1</v>
      </c>
    </row>
    <row r="68" spans="1:30" hidden="1" x14ac:dyDescent="0.3">
      <c r="A68" t="s">
        <v>30</v>
      </c>
      <c r="B68">
        <v>2014</v>
      </c>
      <c r="C68" t="s">
        <v>43</v>
      </c>
      <c r="D68">
        <v>122.6</v>
      </c>
      <c r="E68">
        <v>122.5</v>
      </c>
      <c r="F68">
        <v>118.3</v>
      </c>
      <c r="G68">
        <v>123.2</v>
      </c>
      <c r="H68">
        <v>110.5</v>
      </c>
      <c r="I68">
        <v>128.9</v>
      </c>
      <c r="J68">
        <v>155.30000000000001</v>
      </c>
      <c r="K68">
        <v>115.5</v>
      </c>
      <c r="L68">
        <v>104</v>
      </c>
      <c r="M68">
        <v>115.3</v>
      </c>
      <c r="N68">
        <v>116.8</v>
      </c>
      <c r="O68">
        <v>123.2</v>
      </c>
      <c r="P68">
        <v>125.1</v>
      </c>
      <c r="Q68">
        <v>120</v>
      </c>
      <c r="R68">
        <v>122.7</v>
      </c>
      <c r="S68">
        <v>120.3</v>
      </c>
      <c r="T68">
        <v>122.3</v>
      </c>
      <c r="U68" t="s">
        <v>32</v>
      </c>
      <c r="V68">
        <v>116.4</v>
      </c>
      <c r="W68">
        <v>117.5</v>
      </c>
      <c r="X68">
        <v>115.3</v>
      </c>
      <c r="Y68">
        <v>112.6</v>
      </c>
      <c r="Z68">
        <v>113</v>
      </c>
      <c r="AA68">
        <v>116.9</v>
      </c>
      <c r="AB68">
        <v>109.3</v>
      </c>
      <c r="AC68">
        <v>114</v>
      </c>
      <c r="AD68">
        <v>121</v>
      </c>
    </row>
    <row r="69" spans="1:30" hidden="1" x14ac:dyDescent="0.3">
      <c r="A69" t="s">
        <v>33</v>
      </c>
      <c r="B69">
        <v>2014</v>
      </c>
      <c r="C69" t="s">
        <v>43</v>
      </c>
      <c r="D69">
        <v>124.6</v>
      </c>
      <c r="E69">
        <v>126.1</v>
      </c>
      <c r="F69">
        <v>117.8</v>
      </c>
      <c r="G69">
        <v>123.1</v>
      </c>
      <c r="H69">
        <v>103.5</v>
      </c>
      <c r="I69">
        <v>123.5</v>
      </c>
      <c r="J69">
        <v>159.6</v>
      </c>
      <c r="K69">
        <v>117.4</v>
      </c>
      <c r="L69">
        <v>101.2</v>
      </c>
      <c r="M69">
        <v>123.8</v>
      </c>
      <c r="N69">
        <v>115.2</v>
      </c>
      <c r="O69">
        <v>125.9</v>
      </c>
      <c r="P69">
        <v>125.8</v>
      </c>
      <c r="Q69">
        <v>124.3</v>
      </c>
      <c r="R69">
        <v>119.6</v>
      </c>
      <c r="S69">
        <v>114.9</v>
      </c>
      <c r="T69">
        <v>118.9</v>
      </c>
      <c r="U69">
        <v>116.7</v>
      </c>
      <c r="V69">
        <v>112</v>
      </c>
      <c r="W69">
        <v>115.8</v>
      </c>
      <c r="X69">
        <v>112.6</v>
      </c>
      <c r="Y69">
        <v>111</v>
      </c>
      <c r="Z69">
        <v>113.6</v>
      </c>
      <c r="AA69">
        <v>120.2</v>
      </c>
      <c r="AB69">
        <v>110.1</v>
      </c>
      <c r="AC69">
        <v>113.7</v>
      </c>
      <c r="AD69">
        <v>119.1</v>
      </c>
    </row>
    <row r="70" spans="1:30" hidden="1" x14ac:dyDescent="0.3">
      <c r="A70" t="s">
        <v>34</v>
      </c>
      <c r="B70">
        <v>2014</v>
      </c>
      <c r="C70" t="s">
        <v>43</v>
      </c>
      <c r="D70">
        <v>123.2</v>
      </c>
      <c r="E70">
        <v>123.8</v>
      </c>
      <c r="F70">
        <v>118.1</v>
      </c>
      <c r="G70">
        <v>123.2</v>
      </c>
      <c r="H70">
        <v>107.9</v>
      </c>
      <c r="I70">
        <v>126.4</v>
      </c>
      <c r="J70">
        <v>156.80000000000001</v>
      </c>
      <c r="K70">
        <v>116.1</v>
      </c>
      <c r="L70">
        <v>103.1</v>
      </c>
      <c r="M70">
        <v>118.1</v>
      </c>
      <c r="N70">
        <v>116.1</v>
      </c>
      <c r="O70">
        <v>124.5</v>
      </c>
      <c r="P70">
        <v>125.4</v>
      </c>
      <c r="Q70">
        <v>121.1</v>
      </c>
      <c r="R70">
        <v>121.5</v>
      </c>
      <c r="S70">
        <v>118.1</v>
      </c>
      <c r="T70">
        <v>121</v>
      </c>
      <c r="U70">
        <v>116.7</v>
      </c>
      <c r="V70">
        <v>114.7</v>
      </c>
      <c r="W70">
        <v>116.7</v>
      </c>
      <c r="X70">
        <v>114.3</v>
      </c>
      <c r="Y70">
        <v>111.8</v>
      </c>
      <c r="Z70">
        <v>113.3</v>
      </c>
      <c r="AA70">
        <v>118.8</v>
      </c>
      <c r="AB70">
        <v>109.6</v>
      </c>
      <c r="AC70">
        <v>113.9</v>
      </c>
      <c r="AD70">
        <v>120.1</v>
      </c>
    </row>
    <row r="71" spans="1:30" hidden="1" x14ac:dyDescent="0.3">
      <c r="A71" t="s">
        <v>30</v>
      </c>
      <c r="B71">
        <v>2014</v>
      </c>
      <c r="C71" t="s">
        <v>45</v>
      </c>
      <c r="D71">
        <v>122.7</v>
      </c>
      <c r="E71">
        <v>122.6</v>
      </c>
      <c r="F71">
        <v>119.9</v>
      </c>
      <c r="G71">
        <v>124</v>
      </c>
      <c r="H71">
        <v>110.5</v>
      </c>
      <c r="I71">
        <v>128.80000000000001</v>
      </c>
      <c r="J71">
        <v>152</v>
      </c>
      <c r="K71">
        <v>116.2</v>
      </c>
      <c r="L71">
        <v>103.3</v>
      </c>
      <c r="M71">
        <v>115.8</v>
      </c>
      <c r="N71">
        <v>116.8</v>
      </c>
      <c r="O71">
        <v>124.5</v>
      </c>
      <c r="P71">
        <v>124.9</v>
      </c>
      <c r="Q71">
        <v>120.8</v>
      </c>
      <c r="R71">
        <v>123.3</v>
      </c>
      <c r="S71">
        <v>120.5</v>
      </c>
      <c r="T71">
        <v>122.9</v>
      </c>
      <c r="U71" t="s">
        <v>32</v>
      </c>
      <c r="V71">
        <v>117.3</v>
      </c>
      <c r="W71">
        <v>118.1</v>
      </c>
      <c r="X71">
        <v>115.9</v>
      </c>
      <c r="Y71">
        <v>112</v>
      </c>
      <c r="Z71">
        <v>113.3</v>
      </c>
      <c r="AA71">
        <v>117.2</v>
      </c>
      <c r="AB71">
        <v>108.8</v>
      </c>
      <c r="AC71">
        <v>114.1</v>
      </c>
      <c r="AD71">
        <v>121.1</v>
      </c>
    </row>
    <row r="72" spans="1:30" hidden="1" x14ac:dyDescent="0.3">
      <c r="A72" t="s">
        <v>33</v>
      </c>
      <c r="B72">
        <v>2014</v>
      </c>
      <c r="C72" t="s">
        <v>45</v>
      </c>
      <c r="D72">
        <v>124.5</v>
      </c>
      <c r="E72">
        <v>125.6</v>
      </c>
      <c r="F72">
        <v>122.7</v>
      </c>
      <c r="G72">
        <v>124.6</v>
      </c>
      <c r="H72">
        <v>103.2</v>
      </c>
      <c r="I72">
        <v>122.2</v>
      </c>
      <c r="J72">
        <v>153.19999999999999</v>
      </c>
      <c r="K72">
        <v>119.3</v>
      </c>
      <c r="L72">
        <v>99.8</v>
      </c>
      <c r="M72">
        <v>124.6</v>
      </c>
      <c r="N72">
        <v>115.8</v>
      </c>
      <c r="O72">
        <v>126.9</v>
      </c>
      <c r="P72">
        <v>125.4</v>
      </c>
      <c r="Q72">
        <v>125.8</v>
      </c>
      <c r="R72">
        <v>120.3</v>
      </c>
      <c r="S72">
        <v>115.4</v>
      </c>
      <c r="T72">
        <v>119.5</v>
      </c>
      <c r="U72">
        <v>117.1</v>
      </c>
      <c r="V72">
        <v>112.6</v>
      </c>
      <c r="W72">
        <v>116.4</v>
      </c>
      <c r="X72">
        <v>113</v>
      </c>
      <c r="Y72">
        <v>109.7</v>
      </c>
      <c r="Z72">
        <v>114</v>
      </c>
      <c r="AA72">
        <v>120.3</v>
      </c>
      <c r="AB72">
        <v>109.6</v>
      </c>
      <c r="AC72">
        <v>113.4</v>
      </c>
      <c r="AD72">
        <v>119</v>
      </c>
    </row>
    <row r="73" spans="1:30" hidden="1" x14ac:dyDescent="0.3">
      <c r="A73" t="s">
        <v>34</v>
      </c>
      <c r="B73">
        <v>2014</v>
      </c>
      <c r="C73" t="s">
        <v>45</v>
      </c>
      <c r="D73">
        <v>123.3</v>
      </c>
      <c r="E73">
        <v>123.7</v>
      </c>
      <c r="F73">
        <v>121</v>
      </c>
      <c r="G73">
        <v>124.2</v>
      </c>
      <c r="H73">
        <v>107.8</v>
      </c>
      <c r="I73">
        <v>125.7</v>
      </c>
      <c r="J73">
        <v>152.4</v>
      </c>
      <c r="K73">
        <v>117.2</v>
      </c>
      <c r="L73">
        <v>102.1</v>
      </c>
      <c r="M73">
        <v>118.7</v>
      </c>
      <c r="N73">
        <v>116.4</v>
      </c>
      <c r="O73">
        <v>125.6</v>
      </c>
      <c r="P73">
        <v>125.1</v>
      </c>
      <c r="Q73">
        <v>122.1</v>
      </c>
      <c r="R73">
        <v>122.1</v>
      </c>
      <c r="S73">
        <v>118.4</v>
      </c>
      <c r="T73">
        <v>121.6</v>
      </c>
      <c r="U73">
        <v>117.1</v>
      </c>
      <c r="V73">
        <v>115.5</v>
      </c>
      <c r="W73">
        <v>117.3</v>
      </c>
      <c r="X73">
        <v>114.8</v>
      </c>
      <c r="Y73">
        <v>110.8</v>
      </c>
      <c r="Z73">
        <v>113.7</v>
      </c>
      <c r="AA73">
        <v>119</v>
      </c>
      <c r="AB73">
        <v>109.1</v>
      </c>
      <c r="AC73">
        <v>113.8</v>
      </c>
      <c r="AD73">
        <v>120.1</v>
      </c>
    </row>
    <row r="74" spans="1:30" hidden="1" x14ac:dyDescent="0.3">
      <c r="A74" t="s">
        <v>30</v>
      </c>
      <c r="B74">
        <v>2014</v>
      </c>
      <c r="C74" t="s">
        <v>46</v>
      </c>
      <c r="D74">
        <v>122.4</v>
      </c>
      <c r="E74">
        <v>122.4</v>
      </c>
      <c r="F74">
        <v>121.8</v>
      </c>
      <c r="G74">
        <v>124.2</v>
      </c>
      <c r="H74">
        <v>110.2</v>
      </c>
      <c r="I74">
        <v>128.6</v>
      </c>
      <c r="J74">
        <v>140.30000000000001</v>
      </c>
      <c r="K74">
        <v>116.3</v>
      </c>
      <c r="L74">
        <v>102</v>
      </c>
      <c r="M74">
        <v>116</v>
      </c>
      <c r="N74">
        <v>117.3</v>
      </c>
      <c r="O74">
        <v>124.8</v>
      </c>
      <c r="P74">
        <v>123.3</v>
      </c>
      <c r="Q74">
        <v>121.7</v>
      </c>
      <c r="R74">
        <v>123.8</v>
      </c>
      <c r="S74">
        <v>120.6</v>
      </c>
      <c r="T74">
        <v>123.3</v>
      </c>
      <c r="U74" t="s">
        <v>32</v>
      </c>
      <c r="V74">
        <v>117.4</v>
      </c>
      <c r="W74">
        <v>118.2</v>
      </c>
      <c r="X74">
        <v>116.2</v>
      </c>
      <c r="Y74">
        <v>111.5</v>
      </c>
      <c r="Z74">
        <v>113.3</v>
      </c>
      <c r="AA74">
        <v>117.7</v>
      </c>
      <c r="AB74">
        <v>109.4</v>
      </c>
      <c r="AC74">
        <v>114.2</v>
      </c>
      <c r="AD74">
        <v>120.3</v>
      </c>
    </row>
    <row r="75" spans="1:30" hidden="1" x14ac:dyDescent="0.3">
      <c r="A75" t="s">
        <v>33</v>
      </c>
      <c r="B75">
        <v>2014</v>
      </c>
      <c r="C75" t="s">
        <v>46</v>
      </c>
      <c r="D75">
        <v>124</v>
      </c>
      <c r="E75">
        <v>124.7</v>
      </c>
      <c r="F75">
        <v>126.3</v>
      </c>
      <c r="G75">
        <v>124.9</v>
      </c>
      <c r="H75">
        <v>103</v>
      </c>
      <c r="I75">
        <v>122.3</v>
      </c>
      <c r="J75">
        <v>141</v>
      </c>
      <c r="K75">
        <v>120.1</v>
      </c>
      <c r="L75">
        <v>97.8</v>
      </c>
      <c r="M75">
        <v>125.4</v>
      </c>
      <c r="N75">
        <v>116.1</v>
      </c>
      <c r="O75">
        <v>127.6</v>
      </c>
      <c r="P75">
        <v>124</v>
      </c>
      <c r="Q75">
        <v>126.4</v>
      </c>
      <c r="R75">
        <v>120.7</v>
      </c>
      <c r="S75">
        <v>115.8</v>
      </c>
      <c r="T75">
        <v>120</v>
      </c>
      <c r="U75">
        <v>116.5</v>
      </c>
      <c r="V75">
        <v>113</v>
      </c>
      <c r="W75">
        <v>116.8</v>
      </c>
      <c r="X75">
        <v>113.2</v>
      </c>
      <c r="Y75">
        <v>108.8</v>
      </c>
      <c r="Z75">
        <v>114.3</v>
      </c>
      <c r="AA75">
        <v>120.7</v>
      </c>
      <c r="AB75">
        <v>110.4</v>
      </c>
      <c r="AC75">
        <v>113.4</v>
      </c>
      <c r="AD75">
        <v>118.4</v>
      </c>
    </row>
    <row r="76" spans="1:30" hidden="1" x14ac:dyDescent="0.3">
      <c r="A76" t="s">
        <v>34</v>
      </c>
      <c r="B76">
        <v>2014</v>
      </c>
      <c r="C76" t="s">
        <v>46</v>
      </c>
      <c r="D76">
        <v>122.9</v>
      </c>
      <c r="E76">
        <v>123.2</v>
      </c>
      <c r="F76">
        <v>123.5</v>
      </c>
      <c r="G76">
        <v>124.5</v>
      </c>
      <c r="H76">
        <v>107.6</v>
      </c>
      <c r="I76">
        <v>125.7</v>
      </c>
      <c r="J76">
        <v>140.5</v>
      </c>
      <c r="K76">
        <v>117.6</v>
      </c>
      <c r="L76">
        <v>100.6</v>
      </c>
      <c r="M76">
        <v>119.1</v>
      </c>
      <c r="N76">
        <v>116.8</v>
      </c>
      <c r="O76">
        <v>126.1</v>
      </c>
      <c r="P76">
        <v>123.6</v>
      </c>
      <c r="Q76">
        <v>123</v>
      </c>
      <c r="R76">
        <v>122.6</v>
      </c>
      <c r="S76">
        <v>118.6</v>
      </c>
      <c r="T76">
        <v>122</v>
      </c>
      <c r="U76">
        <v>116.5</v>
      </c>
      <c r="V76">
        <v>115.7</v>
      </c>
      <c r="W76">
        <v>117.5</v>
      </c>
      <c r="X76">
        <v>115.1</v>
      </c>
      <c r="Y76">
        <v>110.1</v>
      </c>
      <c r="Z76">
        <v>113.9</v>
      </c>
      <c r="AA76">
        <v>119.5</v>
      </c>
      <c r="AB76">
        <v>109.8</v>
      </c>
      <c r="AC76">
        <v>113.8</v>
      </c>
      <c r="AD76">
        <v>119.4</v>
      </c>
    </row>
    <row r="77" spans="1:30" hidden="1" x14ac:dyDescent="0.3">
      <c r="A77" t="s">
        <v>30</v>
      </c>
      <c r="B77">
        <v>2015</v>
      </c>
      <c r="C77" t="s">
        <v>31</v>
      </c>
      <c r="D77">
        <v>123.1</v>
      </c>
      <c r="E77">
        <v>123.1</v>
      </c>
      <c r="F77">
        <v>122.1</v>
      </c>
      <c r="G77">
        <v>124.9</v>
      </c>
      <c r="H77">
        <v>111</v>
      </c>
      <c r="I77">
        <v>130.4</v>
      </c>
      <c r="J77">
        <v>132.30000000000001</v>
      </c>
      <c r="K77">
        <v>117.2</v>
      </c>
      <c r="L77">
        <v>100.5</v>
      </c>
      <c r="M77">
        <v>117.2</v>
      </c>
      <c r="N77">
        <v>117.9</v>
      </c>
      <c r="O77">
        <v>125.6</v>
      </c>
      <c r="P77">
        <v>122.8</v>
      </c>
      <c r="Q77">
        <v>122.7</v>
      </c>
      <c r="R77">
        <v>124.4</v>
      </c>
      <c r="S77">
        <v>121.6</v>
      </c>
      <c r="T77">
        <v>124</v>
      </c>
      <c r="U77" t="s">
        <v>32</v>
      </c>
      <c r="V77">
        <v>118.4</v>
      </c>
      <c r="W77">
        <v>118.9</v>
      </c>
      <c r="X77">
        <v>116.6</v>
      </c>
      <c r="Y77">
        <v>111</v>
      </c>
      <c r="Z77">
        <v>114</v>
      </c>
      <c r="AA77">
        <v>118.2</v>
      </c>
      <c r="AB77">
        <v>110.2</v>
      </c>
      <c r="AC77">
        <v>114.5</v>
      </c>
      <c r="AD77">
        <v>120.3</v>
      </c>
    </row>
    <row r="78" spans="1:30" hidden="1" x14ac:dyDescent="0.3">
      <c r="A78" t="s">
        <v>33</v>
      </c>
      <c r="B78">
        <v>2015</v>
      </c>
      <c r="C78" t="s">
        <v>31</v>
      </c>
      <c r="D78">
        <v>124</v>
      </c>
      <c r="E78">
        <v>125.5</v>
      </c>
      <c r="F78">
        <v>126.6</v>
      </c>
      <c r="G78">
        <v>125.2</v>
      </c>
      <c r="H78">
        <v>104.3</v>
      </c>
      <c r="I78">
        <v>121.3</v>
      </c>
      <c r="J78">
        <v>134.4</v>
      </c>
      <c r="K78">
        <v>122.9</v>
      </c>
      <c r="L78">
        <v>96.1</v>
      </c>
      <c r="M78">
        <v>126.6</v>
      </c>
      <c r="N78">
        <v>116.5</v>
      </c>
      <c r="O78">
        <v>128</v>
      </c>
      <c r="P78">
        <v>123.5</v>
      </c>
      <c r="Q78">
        <v>127.4</v>
      </c>
      <c r="R78">
        <v>121</v>
      </c>
      <c r="S78">
        <v>116.1</v>
      </c>
      <c r="T78">
        <v>120.2</v>
      </c>
      <c r="U78">
        <v>117.3</v>
      </c>
      <c r="V78">
        <v>113.4</v>
      </c>
      <c r="W78">
        <v>117.2</v>
      </c>
      <c r="X78">
        <v>113.7</v>
      </c>
      <c r="Y78">
        <v>107.9</v>
      </c>
      <c r="Z78">
        <v>114.6</v>
      </c>
      <c r="AA78">
        <v>120.8</v>
      </c>
      <c r="AB78">
        <v>111.4</v>
      </c>
      <c r="AC78">
        <v>113.4</v>
      </c>
      <c r="AD78">
        <v>118.5</v>
      </c>
    </row>
    <row r="79" spans="1:30" hidden="1" x14ac:dyDescent="0.3">
      <c r="A79" t="s">
        <v>34</v>
      </c>
      <c r="B79">
        <v>2015</v>
      </c>
      <c r="C79" t="s">
        <v>31</v>
      </c>
      <c r="D79">
        <v>123.4</v>
      </c>
      <c r="E79">
        <v>123.9</v>
      </c>
      <c r="F79">
        <v>123.8</v>
      </c>
      <c r="G79">
        <v>125</v>
      </c>
      <c r="H79">
        <v>108.5</v>
      </c>
      <c r="I79">
        <v>126.2</v>
      </c>
      <c r="J79">
        <v>133</v>
      </c>
      <c r="K79">
        <v>119.1</v>
      </c>
      <c r="L79">
        <v>99</v>
      </c>
      <c r="M79">
        <v>120.3</v>
      </c>
      <c r="N79">
        <v>117.3</v>
      </c>
      <c r="O79">
        <v>126.7</v>
      </c>
      <c r="P79">
        <v>123.1</v>
      </c>
      <c r="Q79">
        <v>124</v>
      </c>
      <c r="R79">
        <v>123.1</v>
      </c>
      <c r="S79">
        <v>119.3</v>
      </c>
      <c r="T79">
        <v>122.5</v>
      </c>
      <c r="U79">
        <v>117.3</v>
      </c>
      <c r="V79">
        <v>116.5</v>
      </c>
      <c r="W79">
        <v>118.1</v>
      </c>
      <c r="X79">
        <v>115.5</v>
      </c>
      <c r="Y79">
        <v>109.4</v>
      </c>
      <c r="Z79">
        <v>114.3</v>
      </c>
      <c r="AA79">
        <v>119.7</v>
      </c>
      <c r="AB79">
        <v>110.7</v>
      </c>
      <c r="AC79">
        <v>114</v>
      </c>
      <c r="AD79">
        <v>119.5</v>
      </c>
    </row>
    <row r="80" spans="1:30" hidden="1" x14ac:dyDescent="0.3">
      <c r="A80" t="s">
        <v>30</v>
      </c>
      <c r="B80">
        <v>2015</v>
      </c>
      <c r="C80" t="s">
        <v>35</v>
      </c>
      <c r="D80">
        <v>123.4</v>
      </c>
      <c r="E80">
        <v>124.4</v>
      </c>
      <c r="F80">
        <v>122.1</v>
      </c>
      <c r="G80">
        <v>125.8</v>
      </c>
      <c r="H80">
        <v>111.5</v>
      </c>
      <c r="I80">
        <v>129.4</v>
      </c>
      <c r="J80">
        <v>128.19999999999999</v>
      </c>
      <c r="K80">
        <v>118.8</v>
      </c>
      <c r="L80">
        <v>100</v>
      </c>
      <c r="M80">
        <v>118.6</v>
      </c>
      <c r="N80">
        <v>118.8</v>
      </c>
      <c r="O80">
        <v>126.8</v>
      </c>
      <c r="P80">
        <v>122.8</v>
      </c>
      <c r="Q80">
        <v>124.2</v>
      </c>
      <c r="R80">
        <v>125.4</v>
      </c>
      <c r="S80">
        <v>122.7</v>
      </c>
      <c r="T80">
        <v>125</v>
      </c>
      <c r="U80" t="s">
        <v>32</v>
      </c>
      <c r="V80">
        <v>120</v>
      </c>
      <c r="W80">
        <v>119.6</v>
      </c>
      <c r="X80">
        <v>117.7</v>
      </c>
      <c r="Y80">
        <v>110.9</v>
      </c>
      <c r="Z80">
        <v>114.8</v>
      </c>
      <c r="AA80">
        <v>118.7</v>
      </c>
      <c r="AB80">
        <v>110.8</v>
      </c>
      <c r="AC80">
        <v>115</v>
      </c>
      <c r="AD80">
        <v>120.6</v>
      </c>
    </row>
    <row r="81" spans="1:30" hidden="1" x14ac:dyDescent="0.3">
      <c r="A81" t="s">
        <v>33</v>
      </c>
      <c r="B81">
        <v>2015</v>
      </c>
      <c r="C81" t="s">
        <v>35</v>
      </c>
      <c r="D81">
        <v>124.3</v>
      </c>
      <c r="E81">
        <v>126.5</v>
      </c>
      <c r="F81">
        <v>119.5</v>
      </c>
      <c r="G81">
        <v>125.6</v>
      </c>
      <c r="H81">
        <v>104.9</v>
      </c>
      <c r="I81">
        <v>121.6</v>
      </c>
      <c r="J81">
        <v>131.80000000000001</v>
      </c>
      <c r="K81">
        <v>125.1</v>
      </c>
      <c r="L81">
        <v>95</v>
      </c>
      <c r="M81">
        <v>127.7</v>
      </c>
      <c r="N81">
        <v>116.8</v>
      </c>
      <c r="O81">
        <v>128.6</v>
      </c>
      <c r="P81">
        <v>123.7</v>
      </c>
      <c r="Q81">
        <v>128.1</v>
      </c>
      <c r="R81">
        <v>121.3</v>
      </c>
      <c r="S81">
        <v>116.5</v>
      </c>
      <c r="T81">
        <v>120.6</v>
      </c>
      <c r="U81">
        <v>118.1</v>
      </c>
      <c r="V81">
        <v>114</v>
      </c>
      <c r="W81">
        <v>117.7</v>
      </c>
      <c r="X81">
        <v>114.1</v>
      </c>
      <c r="Y81">
        <v>106.8</v>
      </c>
      <c r="Z81">
        <v>114.9</v>
      </c>
      <c r="AA81">
        <v>120.4</v>
      </c>
      <c r="AB81">
        <v>111.7</v>
      </c>
      <c r="AC81">
        <v>113.2</v>
      </c>
      <c r="AD81">
        <v>118.7</v>
      </c>
    </row>
    <row r="82" spans="1:30" hidden="1" x14ac:dyDescent="0.3">
      <c r="A82" t="s">
        <v>34</v>
      </c>
      <c r="B82">
        <v>2015</v>
      </c>
      <c r="C82" t="s">
        <v>35</v>
      </c>
      <c r="D82">
        <v>123.7</v>
      </c>
      <c r="E82">
        <v>125.1</v>
      </c>
      <c r="F82">
        <v>121.1</v>
      </c>
      <c r="G82">
        <v>125.7</v>
      </c>
      <c r="H82">
        <v>109.1</v>
      </c>
      <c r="I82">
        <v>125.8</v>
      </c>
      <c r="J82">
        <v>129.4</v>
      </c>
      <c r="K82">
        <v>120.9</v>
      </c>
      <c r="L82">
        <v>98.3</v>
      </c>
      <c r="M82">
        <v>121.6</v>
      </c>
      <c r="N82">
        <v>118</v>
      </c>
      <c r="O82">
        <v>127.6</v>
      </c>
      <c r="P82">
        <v>123.1</v>
      </c>
      <c r="Q82">
        <v>125.2</v>
      </c>
      <c r="R82">
        <v>123.8</v>
      </c>
      <c r="S82">
        <v>120.1</v>
      </c>
      <c r="T82">
        <v>123.3</v>
      </c>
      <c r="U82">
        <v>118.1</v>
      </c>
      <c r="V82">
        <v>117.7</v>
      </c>
      <c r="W82">
        <v>118.7</v>
      </c>
      <c r="X82">
        <v>116.3</v>
      </c>
      <c r="Y82">
        <v>108.7</v>
      </c>
      <c r="Z82">
        <v>114.9</v>
      </c>
      <c r="AA82">
        <v>119.7</v>
      </c>
      <c r="AB82">
        <v>111.2</v>
      </c>
      <c r="AC82">
        <v>114.1</v>
      </c>
      <c r="AD82">
        <v>119.7</v>
      </c>
    </row>
    <row r="83" spans="1:30" hidden="1" x14ac:dyDescent="0.3">
      <c r="A83" t="s">
        <v>30</v>
      </c>
      <c r="B83">
        <v>2015</v>
      </c>
      <c r="C83" t="s">
        <v>36</v>
      </c>
      <c r="D83">
        <v>123.3</v>
      </c>
      <c r="E83">
        <v>124.7</v>
      </c>
      <c r="F83">
        <v>118.9</v>
      </c>
      <c r="G83">
        <v>126</v>
      </c>
      <c r="H83">
        <v>111.8</v>
      </c>
      <c r="I83">
        <v>130.9</v>
      </c>
      <c r="J83">
        <v>128</v>
      </c>
      <c r="K83">
        <v>119.9</v>
      </c>
      <c r="L83">
        <v>98.9</v>
      </c>
      <c r="M83">
        <v>119.4</v>
      </c>
      <c r="N83">
        <v>118.9</v>
      </c>
      <c r="O83">
        <v>127.7</v>
      </c>
      <c r="P83">
        <v>123.1</v>
      </c>
      <c r="Q83">
        <v>124.7</v>
      </c>
      <c r="R83">
        <v>126</v>
      </c>
      <c r="S83">
        <v>122.9</v>
      </c>
      <c r="T83">
        <v>125.5</v>
      </c>
      <c r="U83" t="s">
        <v>32</v>
      </c>
      <c r="V83">
        <v>120.6</v>
      </c>
      <c r="W83">
        <v>120.2</v>
      </c>
      <c r="X83">
        <v>118.2</v>
      </c>
      <c r="Y83">
        <v>111.6</v>
      </c>
      <c r="Z83">
        <v>115.5</v>
      </c>
      <c r="AA83">
        <v>119.4</v>
      </c>
      <c r="AB83">
        <v>110.8</v>
      </c>
      <c r="AC83">
        <v>115.5</v>
      </c>
      <c r="AD83">
        <v>121.1</v>
      </c>
    </row>
    <row r="84" spans="1:30" hidden="1" x14ac:dyDescent="0.3">
      <c r="A84" t="s">
        <v>33</v>
      </c>
      <c r="B84">
        <v>2015</v>
      </c>
      <c r="C84" t="s">
        <v>36</v>
      </c>
      <c r="D84">
        <v>124</v>
      </c>
      <c r="E84">
        <v>126.7</v>
      </c>
      <c r="F84">
        <v>113.5</v>
      </c>
      <c r="G84">
        <v>125.9</v>
      </c>
      <c r="H84">
        <v>104.8</v>
      </c>
      <c r="I84">
        <v>123.8</v>
      </c>
      <c r="J84">
        <v>131.4</v>
      </c>
      <c r="K84">
        <v>127.2</v>
      </c>
      <c r="L84">
        <v>93.2</v>
      </c>
      <c r="M84">
        <v>127.4</v>
      </c>
      <c r="N84">
        <v>117</v>
      </c>
      <c r="O84">
        <v>129.19999999999999</v>
      </c>
      <c r="P84">
        <v>123.9</v>
      </c>
      <c r="Q84">
        <v>128.80000000000001</v>
      </c>
      <c r="R84">
        <v>121.7</v>
      </c>
      <c r="S84">
        <v>116.9</v>
      </c>
      <c r="T84">
        <v>120.9</v>
      </c>
      <c r="U84">
        <v>118.6</v>
      </c>
      <c r="V84">
        <v>114.4</v>
      </c>
      <c r="W84">
        <v>118</v>
      </c>
      <c r="X84">
        <v>114.3</v>
      </c>
      <c r="Y84">
        <v>108.4</v>
      </c>
      <c r="Z84">
        <v>115.4</v>
      </c>
      <c r="AA84">
        <v>120.6</v>
      </c>
      <c r="AB84">
        <v>111.3</v>
      </c>
      <c r="AC84">
        <v>113.8</v>
      </c>
      <c r="AD84">
        <v>119.1</v>
      </c>
    </row>
    <row r="85" spans="1:30" hidden="1" x14ac:dyDescent="0.3">
      <c r="A85" t="s">
        <v>34</v>
      </c>
      <c r="B85">
        <v>2015</v>
      </c>
      <c r="C85" t="s">
        <v>36</v>
      </c>
      <c r="D85">
        <v>123.5</v>
      </c>
      <c r="E85">
        <v>125.4</v>
      </c>
      <c r="F85">
        <v>116.8</v>
      </c>
      <c r="G85">
        <v>126</v>
      </c>
      <c r="H85">
        <v>109.2</v>
      </c>
      <c r="I85">
        <v>127.6</v>
      </c>
      <c r="J85">
        <v>129.19999999999999</v>
      </c>
      <c r="K85">
        <v>122.4</v>
      </c>
      <c r="L85">
        <v>97</v>
      </c>
      <c r="M85">
        <v>122.1</v>
      </c>
      <c r="N85">
        <v>118.1</v>
      </c>
      <c r="O85">
        <v>128.4</v>
      </c>
      <c r="P85">
        <v>123.4</v>
      </c>
      <c r="Q85">
        <v>125.8</v>
      </c>
      <c r="R85">
        <v>124.3</v>
      </c>
      <c r="S85">
        <v>120.4</v>
      </c>
      <c r="T85">
        <v>123.7</v>
      </c>
      <c r="U85">
        <v>118.6</v>
      </c>
      <c r="V85">
        <v>118.3</v>
      </c>
      <c r="W85">
        <v>119.2</v>
      </c>
      <c r="X85">
        <v>116.7</v>
      </c>
      <c r="Y85">
        <v>109.9</v>
      </c>
      <c r="Z85">
        <v>115.4</v>
      </c>
      <c r="AA85">
        <v>120.1</v>
      </c>
      <c r="AB85">
        <v>111</v>
      </c>
      <c r="AC85">
        <v>114.7</v>
      </c>
      <c r="AD85">
        <v>120.2</v>
      </c>
    </row>
    <row r="86" spans="1:30" hidden="1" x14ac:dyDescent="0.3">
      <c r="A86" t="s">
        <v>30</v>
      </c>
      <c r="B86">
        <v>2015</v>
      </c>
      <c r="C86" t="s">
        <v>37</v>
      </c>
      <c r="D86">
        <v>123.3</v>
      </c>
      <c r="E86">
        <v>125.5</v>
      </c>
      <c r="F86">
        <v>117.2</v>
      </c>
      <c r="G86">
        <v>126.8</v>
      </c>
      <c r="H86">
        <v>111.9</v>
      </c>
      <c r="I86">
        <v>134.19999999999999</v>
      </c>
      <c r="J86">
        <v>127.5</v>
      </c>
      <c r="K86">
        <v>121.5</v>
      </c>
      <c r="L86">
        <v>97.8</v>
      </c>
      <c r="M86">
        <v>119.8</v>
      </c>
      <c r="N86">
        <v>119.4</v>
      </c>
      <c r="O86">
        <v>128.69999999999999</v>
      </c>
      <c r="P86">
        <v>123.6</v>
      </c>
      <c r="Q86">
        <v>125.7</v>
      </c>
      <c r="R86">
        <v>126.4</v>
      </c>
      <c r="S86">
        <v>123.3</v>
      </c>
      <c r="T86">
        <v>126</v>
      </c>
      <c r="U86" t="s">
        <v>32</v>
      </c>
      <c r="V86">
        <v>121.2</v>
      </c>
      <c r="W86">
        <v>120.9</v>
      </c>
      <c r="X86">
        <v>118.6</v>
      </c>
      <c r="Y86">
        <v>111.9</v>
      </c>
      <c r="Z86">
        <v>116.2</v>
      </c>
      <c r="AA86">
        <v>119.9</v>
      </c>
      <c r="AB86">
        <v>111.6</v>
      </c>
      <c r="AC86">
        <v>116</v>
      </c>
      <c r="AD86">
        <v>121.5</v>
      </c>
    </row>
    <row r="87" spans="1:30" hidden="1" x14ac:dyDescent="0.3">
      <c r="A87" t="s">
        <v>33</v>
      </c>
      <c r="B87">
        <v>2015</v>
      </c>
      <c r="C87" t="s">
        <v>37</v>
      </c>
      <c r="D87">
        <v>123.8</v>
      </c>
      <c r="E87">
        <v>128.19999999999999</v>
      </c>
      <c r="F87">
        <v>110</v>
      </c>
      <c r="G87">
        <v>126.3</v>
      </c>
      <c r="H87">
        <v>104.5</v>
      </c>
      <c r="I87">
        <v>130.6</v>
      </c>
      <c r="J87">
        <v>130.80000000000001</v>
      </c>
      <c r="K87">
        <v>131.30000000000001</v>
      </c>
      <c r="L87">
        <v>91.6</v>
      </c>
      <c r="M87">
        <v>127.7</v>
      </c>
      <c r="N87">
        <v>117.2</v>
      </c>
      <c r="O87">
        <v>129.5</v>
      </c>
      <c r="P87">
        <v>124.6</v>
      </c>
      <c r="Q87">
        <v>130.1</v>
      </c>
      <c r="R87">
        <v>122.1</v>
      </c>
      <c r="S87">
        <v>117.2</v>
      </c>
      <c r="T87">
        <v>121.3</v>
      </c>
      <c r="U87">
        <v>119.2</v>
      </c>
      <c r="V87">
        <v>114.7</v>
      </c>
      <c r="W87">
        <v>118.4</v>
      </c>
      <c r="X87">
        <v>114.6</v>
      </c>
      <c r="Y87">
        <v>108.4</v>
      </c>
      <c r="Z87">
        <v>115.6</v>
      </c>
      <c r="AA87">
        <v>121.7</v>
      </c>
      <c r="AB87">
        <v>111.8</v>
      </c>
      <c r="AC87">
        <v>114.2</v>
      </c>
      <c r="AD87">
        <v>119.7</v>
      </c>
    </row>
    <row r="88" spans="1:30" hidden="1" x14ac:dyDescent="0.3">
      <c r="A88" t="s">
        <v>34</v>
      </c>
      <c r="B88">
        <v>2015</v>
      </c>
      <c r="C88" t="s">
        <v>37</v>
      </c>
      <c r="D88">
        <v>123.5</v>
      </c>
      <c r="E88">
        <v>126.4</v>
      </c>
      <c r="F88">
        <v>114.4</v>
      </c>
      <c r="G88">
        <v>126.6</v>
      </c>
      <c r="H88">
        <v>109.2</v>
      </c>
      <c r="I88">
        <v>132.5</v>
      </c>
      <c r="J88">
        <v>128.6</v>
      </c>
      <c r="K88">
        <v>124.8</v>
      </c>
      <c r="L88">
        <v>95.7</v>
      </c>
      <c r="M88">
        <v>122.4</v>
      </c>
      <c r="N88">
        <v>118.5</v>
      </c>
      <c r="O88">
        <v>129.1</v>
      </c>
      <c r="P88">
        <v>124</v>
      </c>
      <c r="Q88">
        <v>126.9</v>
      </c>
      <c r="R88">
        <v>124.7</v>
      </c>
      <c r="S88">
        <v>120.8</v>
      </c>
      <c r="T88">
        <v>124.1</v>
      </c>
      <c r="U88">
        <v>119.2</v>
      </c>
      <c r="V88">
        <v>118.7</v>
      </c>
      <c r="W88">
        <v>119.7</v>
      </c>
      <c r="X88">
        <v>117.1</v>
      </c>
      <c r="Y88">
        <v>110.1</v>
      </c>
      <c r="Z88">
        <v>115.9</v>
      </c>
      <c r="AA88">
        <v>121</v>
      </c>
      <c r="AB88">
        <v>111.7</v>
      </c>
      <c r="AC88">
        <v>115.1</v>
      </c>
      <c r="AD88">
        <v>120.7</v>
      </c>
    </row>
    <row r="89" spans="1:30" hidden="1" x14ac:dyDescent="0.3">
      <c r="A89" t="s">
        <v>30</v>
      </c>
      <c r="B89">
        <v>2015</v>
      </c>
      <c r="C89" t="s">
        <v>38</v>
      </c>
      <c r="D89">
        <v>123.5</v>
      </c>
      <c r="E89">
        <v>127.1</v>
      </c>
      <c r="F89">
        <v>117.3</v>
      </c>
      <c r="G89">
        <v>127.7</v>
      </c>
      <c r="H89">
        <v>112.5</v>
      </c>
      <c r="I89">
        <v>134.1</v>
      </c>
      <c r="J89">
        <v>128.5</v>
      </c>
      <c r="K89">
        <v>124.3</v>
      </c>
      <c r="L89">
        <v>97.6</v>
      </c>
      <c r="M89">
        <v>120.7</v>
      </c>
      <c r="N89">
        <v>120.2</v>
      </c>
      <c r="O89">
        <v>129.80000000000001</v>
      </c>
      <c r="P89">
        <v>124.4</v>
      </c>
      <c r="Q89">
        <v>126.7</v>
      </c>
      <c r="R89">
        <v>127.3</v>
      </c>
      <c r="S89">
        <v>124.1</v>
      </c>
      <c r="T89">
        <v>126.8</v>
      </c>
      <c r="U89" t="s">
        <v>32</v>
      </c>
      <c r="V89">
        <v>121.9</v>
      </c>
      <c r="W89">
        <v>121.5</v>
      </c>
      <c r="X89">
        <v>119.4</v>
      </c>
      <c r="Y89">
        <v>113.3</v>
      </c>
      <c r="Z89">
        <v>116.7</v>
      </c>
      <c r="AA89">
        <v>120.5</v>
      </c>
      <c r="AB89">
        <v>112.3</v>
      </c>
      <c r="AC89">
        <v>116.9</v>
      </c>
      <c r="AD89">
        <v>122.4</v>
      </c>
    </row>
    <row r="90" spans="1:30" hidden="1" x14ac:dyDescent="0.3">
      <c r="A90" t="s">
        <v>33</v>
      </c>
      <c r="B90">
        <v>2015</v>
      </c>
      <c r="C90" t="s">
        <v>38</v>
      </c>
      <c r="D90">
        <v>123.8</v>
      </c>
      <c r="E90">
        <v>129.69999999999999</v>
      </c>
      <c r="F90">
        <v>111.3</v>
      </c>
      <c r="G90">
        <v>126.6</v>
      </c>
      <c r="H90">
        <v>105.2</v>
      </c>
      <c r="I90">
        <v>130.80000000000001</v>
      </c>
      <c r="J90">
        <v>135.6</v>
      </c>
      <c r="K90">
        <v>142.6</v>
      </c>
      <c r="L90">
        <v>90.8</v>
      </c>
      <c r="M90">
        <v>128.80000000000001</v>
      </c>
      <c r="N90">
        <v>117.7</v>
      </c>
      <c r="O90">
        <v>129.9</v>
      </c>
      <c r="P90">
        <v>126.1</v>
      </c>
      <c r="Q90">
        <v>131.30000000000001</v>
      </c>
      <c r="R90">
        <v>122.4</v>
      </c>
      <c r="S90">
        <v>117.4</v>
      </c>
      <c r="T90">
        <v>121.6</v>
      </c>
      <c r="U90">
        <v>119.6</v>
      </c>
      <c r="V90">
        <v>114.9</v>
      </c>
      <c r="W90">
        <v>118.7</v>
      </c>
      <c r="X90">
        <v>114.9</v>
      </c>
      <c r="Y90">
        <v>110.8</v>
      </c>
      <c r="Z90">
        <v>116</v>
      </c>
      <c r="AA90">
        <v>122</v>
      </c>
      <c r="AB90">
        <v>112.4</v>
      </c>
      <c r="AC90">
        <v>115.2</v>
      </c>
      <c r="AD90">
        <v>120.7</v>
      </c>
    </row>
    <row r="91" spans="1:30" hidden="1" x14ac:dyDescent="0.3">
      <c r="A91" t="s">
        <v>34</v>
      </c>
      <c r="B91">
        <v>2015</v>
      </c>
      <c r="C91" t="s">
        <v>38</v>
      </c>
      <c r="D91">
        <v>123.6</v>
      </c>
      <c r="E91">
        <v>128</v>
      </c>
      <c r="F91">
        <v>115</v>
      </c>
      <c r="G91">
        <v>127.3</v>
      </c>
      <c r="H91">
        <v>109.8</v>
      </c>
      <c r="I91">
        <v>132.6</v>
      </c>
      <c r="J91">
        <v>130.9</v>
      </c>
      <c r="K91">
        <v>130.5</v>
      </c>
      <c r="L91">
        <v>95.3</v>
      </c>
      <c r="M91">
        <v>123.4</v>
      </c>
      <c r="N91">
        <v>119.2</v>
      </c>
      <c r="O91">
        <v>129.80000000000001</v>
      </c>
      <c r="P91">
        <v>125</v>
      </c>
      <c r="Q91">
        <v>127.9</v>
      </c>
      <c r="R91">
        <v>125.4</v>
      </c>
      <c r="S91">
        <v>121.3</v>
      </c>
      <c r="T91">
        <v>124.7</v>
      </c>
      <c r="U91">
        <v>119.6</v>
      </c>
      <c r="V91">
        <v>119.2</v>
      </c>
      <c r="W91">
        <v>120.2</v>
      </c>
      <c r="X91">
        <v>117.7</v>
      </c>
      <c r="Y91">
        <v>112</v>
      </c>
      <c r="Z91">
        <v>116.3</v>
      </c>
      <c r="AA91">
        <v>121.4</v>
      </c>
      <c r="AB91">
        <v>112.3</v>
      </c>
      <c r="AC91">
        <v>116.1</v>
      </c>
      <c r="AD91">
        <v>121.6</v>
      </c>
    </row>
    <row r="92" spans="1:30" hidden="1" x14ac:dyDescent="0.3">
      <c r="A92" t="s">
        <v>30</v>
      </c>
      <c r="B92">
        <v>2015</v>
      </c>
      <c r="C92" t="s">
        <v>39</v>
      </c>
      <c r="D92">
        <v>124.1</v>
      </c>
      <c r="E92">
        <v>130.4</v>
      </c>
      <c r="F92">
        <v>122.1</v>
      </c>
      <c r="G92">
        <v>128.69999999999999</v>
      </c>
      <c r="H92">
        <v>114.1</v>
      </c>
      <c r="I92">
        <v>133.19999999999999</v>
      </c>
      <c r="J92">
        <v>135.19999999999999</v>
      </c>
      <c r="K92">
        <v>131.9</v>
      </c>
      <c r="L92">
        <v>96.3</v>
      </c>
      <c r="M92">
        <v>123</v>
      </c>
      <c r="N92">
        <v>121.1</v>
      </c>
      <c r="O92">
        <v>131.19999999999999</v>
      </c>
      <c r="P92">
        <v>126.6</v>
      </c>
      <c r="Q92">
        <v>128.19999999999999</v>
      </c>
      <c r="R92">
        <v>128.4</v>
      </c>
      <c r="S92">
        <v>125.1</v>
      </c>
      <c r="T92">
        <v>128</v>
      </c>
      <c r="U92" t="s">
        <v>32</v>
      </c>
      <c r="V92">
        <v>122.6</v>
      </c>
      <c r="W92">
        <v>122.8</v>
      </c>
      <c r="X92">
        <v>120.4</v>
      </c>
      <c r="Y92">
        <v>114.2</v>
      </c>
      <c r="Z92">
        <v>117.9</v>
      </c>
      <c r="AA92">
        <v>122</v>
      </c>
      <c r="AB92">
        <v>113</v>
      </c>
      <c r="AC92">
        <v>117.9</v>
      </c>
      <c r="AD92">
        <v>124.1</v>
      </c>
    </row>
    <row r="93" spans="1:30" hidden="1" x14ac:dyDescent="0.3">
      <c r="A93" t="s">
        <v>33</v>
      </c>
      <c r="B93">
        <v>2015</v>
      </c>
      <c r="C93" t="s">
        <v>39</v>
      </c>
      <c r="D93">
        <v>123.6</v>
      </c>
      <c r="E93">
        <v>134.4</v>
      </c>
      <c r="F93">
        <v>120.9</v>
      </c>
      <c r="G93">
        <v>127.3</v>
      </c>
      <c r="H93">
        <v>106</v>
      </c>
      <c r="I93">
        <v>132.30000000000001</v>
      </c>
      <c r="J93">
        <v>146.69999999999999</v>
      </c>
      <c r="K93">
        <v>148.1</v>
      </c>
      <c r="L93">
        <v>89.8</v>
      </c>
      <c r="M93">
        <v>130.5</v>
      </c>
      <c r="N93">
        <v>118</v>
      </c>
      <c r="O93">
        <v>130.5</v>
      </c>
      <c r="P93">
        <v>128.5</v>
      </c>
      <c r="Q93">
        <v>132.1</v>
      </c>
      <c r="R93">
        <v>123.2</v>
      </c>
      <c r="S93">
        <v>117.6</v>
      </c>
      <c r="T93">
        <v>122.3</v>
      </c>
      <c r="U93">
        <v>119</v>
      </c>
      <c r="V93">
        <v>115.1</v>
      </c>
      <c r="W93">
        <v>119.2</v>
      </c>
      <c r="X93">
        <v>115.4</v>
      </c>
      <c r="Y93">
        <v>111.7</v>
      </c>
      <c r="Z93">
        <v>116.2</v>
      </c>
      <c r="AA93">
        <v>123.8</v>
      </c>
      <c r="AB93">
        <v>112.5</v>
      </c>
      <c r="AC93">
        <v>116</v>
      </c>
      <c r="AD93">
        <v>121.7</v>
      </c>
    </row>
    <row r="94" spans="1:30" hidden="1" x14ac:dyDescent="0.3">
      <c r="A94" t="s">
        <v>34</v>
      </c>
      <c r="B94">
        <v>2015</v>
      </c>
      <c r="C94" t="s">
        <v>39</v>
      </c>
      <c r="D94">
        <v>123.9</v>
      </c>
      <c r="E94">
        <v>131.80000000000001</v>
      </c>
      <c r="F94">
        <v>121.6</v>
      </c>
      <c r="G94">
        <v>128.19999999999999</v>
      </c>
      <c r="H94">
        <v>111.1</v>
      </c>
      <c r="I94">
        <v>132.80000000000001</v>
      </c>
      <c r="J94">
        <v>139.1</v>
      </c>
      <c r="K94">
        <v>137.4</v>
      </c>
      <c r="L94">
        <v>94.1</v>
      </c>
      <c r="M94">
        <v>125.5</v>
      </c>
      <c r="N94">
        <v>119.8</v>
      </c>
      <c r="O94">
        <v>130.9</v>
      </c>
      <c r="P94">
        <v>127.3</v>
      </c>
      <c r="Q94">
        <v>129.19999999999999</v>
      </c>
      <c r="R94">
        <v>126.4</v>
      </c>
      <c r="S94">
        <v>122</v>
      </c>
      <c r="T94">
        <v>125.7</v>
      </c>
      <c r="U94">
        <v>119</v>
      </c>
      <c r="V94">
        <v>119.8</v>
      </c>
      <c r="W94">
        <v>121.1</v>
      </c>
      <c r="X94">
        <v>118.5</v>
      </c>
      <c r="Y94">
        <v>112.9</v>
      </c>
      <c r="Z94">
        <v>116.9</v>
      </c>
      <c r="AA94">
        <v>123.1</v>
      </c>
      <c r="AB94">
        <v>112.8</v>
      </c>
      <c r="AC94">
        <v>117</v>
      </c>
      <c r="AD94">
        <v>123</v>
      </c>
    </row>
    <row r="95" spans="1:30" hidden="1" x14ac:dyDescent="0.3">
      <c r="A95" t="s">
        <v>30</v>
      </c>
      <c r="B95">
        <v>2015</v>
      </c>
      <c r="C95" t="s">
        <v>40</v>
      </c>
      <c r="D95">
        <v>124</v>
      </c>
      <c r="E95">
        <v>131.5</v>
      </c>
      <c r="F95">
        <v>122</v>
      </c>
      <c r="G95">
        <v>128.69999999999999</v>
      </c>
      <c r="H95">
        <v>113.5</v>
      </c>
      <c r="I95">
        <v>133.30000000000001</v>
      </c>
      <c r="J95">
        <v>140.80000000000001</v>
      </c>
      <c r="K95">
        <v>133.80000000000001</v>
      </c>
      <c r="L95">
        <v>94.1</v>
      </c>
      <c r="M95">
        <v>123.4</v>
      </c>
      <c r="N95">
        <v>121</v>
      </c>
      <c r="O95">
        <v>131.69999999999999</v>
      </c>
      <c r="P95">
        <v>127.5</v>
      </c>
      <c r="Q95">
        <v>129.4</v>
      </c>
      <c r="R95">
        <v>128.80000000000001</v>
      </c>
      <c r="S95">
        <v>125.5</v>
      </c>
      <c r="T95">
        <v>128.30000000000001</v>
      </c>
      <c r="U95" t="s">
        <v>32</v>
      </c>
      <c r="V95">
        <v>123</v>
      </c>
      <c r="W95">
        <v>123</v>
      </c>
      <c r="X95">
        <v>120.8</v>
      </c>
      <c r="Y95">
        <v>114.1</v>
      </c>
      <c r="Z95">
        <v>118</v>
      </c>
      <c r="AA95">
        <v>122.9</v>
      </c>
      <c r="AB95">
        <v>112.7</v>
      </c>
      <c r="AC95">
        <v>118.1</v>
      </c>
      <c r="AD95">
        <v>124.7</v>
      </c>
    </row>
    <row r="96" spans="1:30" hidden="1" x14ac:dyDescent="0.3">
      <c r="A96" t="s">
        <v>33</v>
      </c>
      <c r="B96">
        <v>2015</v>
      </c>
      <c r="C96" t="s">
        <v>40</v>
      </c>
      <c r="D96">
        <v>123.2</v>
      </c>
      <c r="E96">
        <v>134.30000000000001</v>
      </c>
      <c r="F96">
        <v>119.5</v>
      </c>
      <c r="G96">
        <v>127.7</v>
      </c>
      <c r="H96">
        <v>106.3</v>
      </c>
      <c r="I96">
        <v>132.80000000000001</v>
      </c>
      <c r="J96">
        <v>153.5</v>
      </c>
      <c r="K96">
        <v>149.5</v>
      </c>
      <c r="L96">
        <v>85.7</v>
      </c>
      <c r="M96">
        <v>131.5</v>
      </c>
      <c r="N96">
        <v>118.3</v>
      </c>
      <c r="O96">
        <v>131.1</v>
      </c>
      <c r="P96">
        <v>129.5</v>
      </c>
      <c r="Q96">
        <v>133.1</v>
      </c>
      <c r="R96">
        <v>123.5</v>
      </c>
      <c r="S96">
        <v>117.9</v>
      </c>
      <c r="T96">
        <v>122.7</v>
      </c>
      <c r="U96">
        <v>119.9</v>
      </c>
      <c r="V96">
        <v>115.3</v>
      </c>
      <c r="W96">
        <v>119.5</v>
      </c>
      <c r="X96">
        <v>116</v>
      </c>
      <c r="Y96">
        <v>111.5</v>
      </c>
      <c r="Z96">
        <v>116.6</v>
      </c>
      <c r="AA96">
        <v>125.4</v>
      </c>
      <c r="AB96">
        <v>111.7</v>
      </c>
      <c r="AC96">
        <v>116.3</v>
      </c>
      <c r="AD96">
        <v>122.4</v>
      </c>
    </row>
    <row r="97" spans="1:30" hidden="1" x14ac:dyDescent="0.3">
      <c r="A97" t="s">
        <v>34</v>
      </c>
      <c r="B97">
        <v>2015</v>
      </c>
      <c r="C97" t="s">
        <v>40</v>
      </c>
      <c r="D97">
        <v>123.7</v>
      </c>
      <c r="E97">
        <v>132.5</v>
      </c>
      <c r="F97">
        <v>121</v>
      </c>
      <c r="G97">
        <v>128.30000000000001</v>
      </c>
      <c r="H97">
        <v>110.9</v>
      </c>
      <c r="I97">
        <v>133.1</v>
      </c>
      <c r="J97">
        <v>145.1</v>
      </c>
      <c r="K97">
        <v>139.1</v>
      </c>
      <c r="L97">
        <v>91.3</v>
      </c>
      <c r="M97">
        <v>126.1</v>
      </c>
      <c r="N97">
        <v>119.9</v>
      </c>
      <c r="O97">
        <v>131.4</v>
      </c>
      <c r="P97">
        <v>128.19999999999999</v>
      </c>
      <c r="Q97">
        <v>130.4</v>
      </c>
      <c r="R97">
        <v>126.7</v>
      </c>
      <c r="S97">
        <v>122.3</v>
      </c>
      <c r="T97">
        <v>126.1</v>
      </c>
      <c r="U97">
        <v>119.9</v>
      </c>
      <c r="V97">
        <v>120.1</v>
      </c>
      <c r="W97">
        <v>121.3</v>
      </c>
      <c r="X97">
        <v>119</v>
      </c>
      <c r="Y97">
        <v>112.7</v>
      </c>
      <c r="Z97">
        <v>117.2</v>
      </c>
      <c r="AA97">
        <v>124.4</v>
      </c>
      <c r="AB97">
        <v>112.3</v>
      </c>
      <c r="AC97">
        <v>117.2</v>
      </c>
      <c r="AD97">
        <v>123.6</v>
      </c>
    </row>
    <row r="98" spans="1:30" hidden="1" x14ac:dyDescent="0.3">
      <c r="A98" t="s">
        <v>30</v>
      </c>
      <c r="B98">
        <v>2015</v>
      </c>
      <c r="C98" t="s">
        <v>41</v>
      </c>
      <c r="D98">
        <v>124.7</v>
      </c>
      <c r="E98">
        <v>131.30000000000001</v>
      </c>
      <c r="F98">
        <v>121.3</v>
      </c>
      <c r="G98">
        <v>128.80000000000001</v>
      </c>
      <c r="H98">
        <v>114</v>
      </c>
      <c r="I98">
        <v>134.19999999999999</v>
      </c>
      <c r="J98">
        <v>153.6</v>
      </c>
      <c r="K98">
        <v>137.9</v>
      </c>
      <c r="L98">
        <v>93.1</v>
      </c>
      <c r="M98">
        <v>123.9</v>
      </c>
      <c r="N98">
        <v>121.5</v>
      </c>
      <c r="O98">
        <v>132.5</v>
      </c>
      <c r="P98">
        <v>129.80000000000001</v>
      </c>
      <c r="Q98">
        <v>130.1</v>
      </c>
      <c r="R98">
        <v>129.5</v>
      </c>
      <c r="S98">
        <v>126.3</v>
      </c>
      <c r="T98">
        <v>129</v>
      </c>
      <c r="U98" t="s">
        <v>32</v>
      </c>
      <c r="V98">
        <v>123.8</v>
      </c>
      <c r="W98">
        <v>123.7</v>
      </c>
      <c r="X98">
        <v>121.1</v>
      </c>
      <c r="Y98">
        <v>113.6</v>
      </c>
      <c r="Z98">
        <v>118.5</v>
      </c>
      <c r="AA98">
        <v>123.6</v>
      </c>
      <c r="AB98">
        <v>112.5</v>
      </c>
      <c r="AC98">
        <v>118.2</v>
      </c>
      <c r="AD98">
        <v>126.1</v>
      </c>
    </row>
    <row r="99" spans="1:30" hidden="1" x14ac:dyDescent="0.3">
      <c r="A99" t="s">
        <v>33</v>
      </c>
      <c r="B99">
        <v>2015</v>
      </c>
      <c r="C99" t="s">
        <v>41</v>
      </c>
      <c r="D99">
        <v>123.1</v>
      </c>
      <c r="E99">
        <v>131.69999999999999</v>
      </c>
      <c r="F99">
        <v>118.1</v>
      </c>
      <c r="G99">
        <v>128</v>
      </c>
      <c r="H99">
        <v>106.8</v>
      </c>
      <c r="I99">
        <v>130.1</v>
      </c>
      <c r="J99">
        <v>165.5</v>
      </c>
      <c r="K99">
        <v>156</v>
      </c>
      <c r="L99">
        <v>85.3</v>
      </c>
      <c r="M99">
        <v>132.69999999999999</v>
      </c>
      <c r="N99">
        <v>118.8</v>
      </c>
      <c r="O99">
        <v>131.69999999999999</v>
      </c>
      <c r="P99">
        <v>131.1</v>
      </c>
      <c r="Q99">
        <v>134.19999999999999</v>
      </c>
      <c r="R99">
        <v>123.7</v>
      </c>
      <c r="S99">
        <v>118.2</v>
      </c>
      <c r="T99">
        <v>122.9</v>
      </c>
      <c r="U99">
        <v>120.9</v>
      </c>
      <c r="V99">
        <v>115.3</v>
      </c>
      <c r="W99">
        <v>120</v>
      </c>
      <c r="X99">
        <v>116.6</v>
      </c>
      <c r="Y99">
        <v>109.9</v>
      </c>
      <c r="Z99">
        <v>117.2</v>
      </c>
      <c r="AA99">
        <v>126.2</v>
      </c>
      <c r="AB99">
        <v>112</v>
      </c>
      <c r="AC99">
        <v>116.2</v>
      </c>
      <c r="AD99">
        <v>123.2</v>
      </c>
    </row>
    <row r="100" spans="1:30" hidden="1" x14ac:dyDescent="0.3">
      <c r="A100" t="s">
        <v>34</v>
      </c>
      <c r="B100">
        <v>2015</v>
      </c>
      <c r="C100" t="s">
        <v>41</v>
      </c>
      <c r="D100">
        <v>124.2</v>
      </c>
      <c r="E100">
        <v>131.4</v>
      </c>
      <c r="F100">
        <v>120.1</v>
      </c>
      <c r="G100">
        <v>128.5</v>
      </c>
      <c r="H100">
        <v>111.4</v>
      </c>
      <c r="I100">
        <v>132.30000000000001</v>
      </c>
      <c r="J100">
        <v>157.6</v>
      </c>
      <c r="K100">
        <v>144</v>
      </c>
      <c r="L100">
        <v>90.5</v>
      </c>
      <c r="M100">
        <v>126.8</v>
      </c>
      <c r="N100">
        <v>120.4</v>
      </c>
      <c r="O100">
        <v>132.1</v>
      </c>
      <c r="P100">
        <v>130.30000000000001</v>
      </c>
      <c r="Q100">
        <v>131.19999999999999</v>
      </c>
      <c r="R100">
        <v>127.2</v>
      </c>
      <c r="S100">
        <v>122.9</v>
      </c>
      <c r="T100">
        <v>126.6</v>
      </c>
      <c r="U100">
        <v>120.9</v>
      </c>
      <c r="V100">
        <v>120.6</v>
      </c>
      <c r="W100">
        <v>122</v>
      </c>
      <c r="X100">
        <v>119.4</v>
      </c>
      <c r="Y100">
        <v>111.7</v>
      </c>
      <c r="Z100">
        <v>117.8</v>
      </c>
      <c r="AA100">
        <v>125.1</v>
      </c>
      <c r="AB100">
        <v>112.3</v>
      </c>
      <c r="AC100">
        <v>117.2</v>
      </c>
      <c r="AD100">
        <v>124.8</v>
      </c>
    </row>
    <row r="101" spans="1:30" hidden="1" x14ac:dyDescent="0.3">
      <c r="A101" t="s">
        <v>30</v>
      </c>
      <c r="B101">
        <v>2015</v>
      </c>
      <c r="C101" t="s">
        <v>42</v>
      </c>
      <c r="D101">
        <v>125.1</v>
      </c>
      <c r="E101">
        <v>131.1</v>
      </c>
      <c r="F101">
        <v>120.7</v>
      </c>
      <c r="G101">
        <v>129.19999999999999</v>
      </c>
      <c r="H101">
        <v>114.7</v>
      </c>
      <c r="I101">
        <v>132.30000000000001</v>
      </c>
      <c r="J101">
        <v>158.9</v>
      </c>
      <c r="K101">
        <v>142.1</v>
      </c>
      <c r="L101">
        <v>92.5</v>
      </c>
      <c r="M101">
        <v>125.4</v>
      </c>
      <c r="N101">
        <v>121.9</v>
      </c>
      <c r="O101">
        <v>132.69999999999999</v>
      </c>
      <c r="P101">
        <v>131</v>
      </c>
      <c r="Q101">
        <v>131</v>
      </c>
      <c r="R101">
        <v>130.4</v>
      </c>
      <c r="S101">
        <v>126.8</v>
      </c>
      <c r="T101">
        <v>129.9</v>
      </c>
      <c r="U101" t="s">
        <v>32</v>
      </c>
      <c r="V101">
        <v>123.7</v>
      </c>
      <c r="W101">
        <v>124.5</v>
      </c>
      <c r="X101">
        <v>121.4</v>
      </c>
      <c r="Y101">
        <v>113.8</v>
      </c>
      <c r="Z101">
        <v>119.6</v>
      </c>
      <c r="AA101">
        <v>124.5</v>
      </c>
      <c r="AB101">
        <v>113.7</v>
      </c>
      <c r="AC101">
        <v>118.8</v>
      </c>
      <c r="AD101">
        <v>127</v>
      </c>
    </row>
    <row r="102" spans="1:30" hidden="1" x14ac:dyDescent="0.3">
      <c r="A102" t="s">
        <v>33</v>
      </c>
      <c r="B102">
        <v>2015</v>
      </c>
      <c r="C102" t="s">
        <v>42</v>
      </c>
      <c r="D102">
        <v>123.4</v>
      </c>
      <c r="E102">
        <v>129</v>
      </c>
      <c r="F102">
        <v>115.6</v>
      </c>
      <c r="G102">
        <v>128.30000000000001</v>
      </c>
      <c r="H102">
        <v>107</v>
      </c>
      <c r="I102">
        <v>124</v>
      </c>
      <c r="J102">
        <v>168.5</v>
      </c>
      <c r="K102">
        <v>165.4</v>
      </c>
      <c r="L102">
        <v>86.3</v>
      </c>
      <c r="M102">
        <v>134.4</v>
      </c>
      <c r="N102">
        <v>119.1</v>
      </c>
      <c r="O102">
        <v>132.30000000000001</v>
      </c>
      <c r="P102">
        <v>131.5</v>
      </c>
      <c r="Q102">
        <v>134.69999999999999</v>
      </c>
      <c r="R102">
        <v>124</v>
      </c>
      <c r="S102">
        <v>118.6</v>
      </c>
      <c r="T102">
        <v>123.2</v>
      </c>
      <c r="U102">
        <v>121.6</v>
      </c>
      <c r="V102">
        <v>115.1</v>
      </c>
      <c r="W102">
        <v>120.4</v>
      </c>
      <c r="X102">
        <v>117.1</v>
      </c>
      <c r="Y102">
        <v>109.1</v>
      </c>
      <c r="Z102">
        <v>117.3</v>
      </c>
      <c r="AA102">
        <v>126.5</v>
      </c>
      <c r="AB102">
        <v>112.9</v>
      </c>
      <c r="AC102">
        <v>116.2</v>
      </c>
      <c r="AD102">
        <v>123.5</v>
      </c>
    </row>
    <row r="103" spans="1:30" hidden="1" x14ac:dyDescent="0.3">
      <c r="A103" t="s">
        <v>34</v>
      </c>
      <c r="B103">
        <v>2015</v>
      </c>
      <c r="C103" t="s">
        <v>42</v>
      </c>
      <c r="D103">
        <v>124.6</v>
      </c>
      <c r="E103">
        <v>130.4</v>
      </c>
      <c r="F103">
        <v>118.7</v>
      </c>
      <c r="G103">
        <v>128.9</v>
      </c>
      <c r="H103">
        <v>111.9</v>
      </c>
      <c r="I103">
        <v>128.4</v>
      </c>
      <c r="J103">
        <v>162.19999999999999</v>
      </c>
      <c r="K103">
        <v>150</v>
      </c>
      <c r="L103">
        <v>90.4</v>
      </c>
      <c r="M103">
        <v>128.4</v>
      </c>
      <c r="N103">
        <v>120.7</v>
      </c>
      <c r="O103">
        <v>132.5</v>
      </c>
      <c r="P103">
        <v>131.19999999999999</v>
      </c>
      <c r="Q103">
        <v>132</v>
      </c>
      <c r="R103">
        <v>127.9</v>
      </c>
      <c r="S103">
        <v>123.4</v>
      </c>
      <c r="T103">
        <v>127.2</v>
      </c>
      <c r="U103">
        <v>121.6</v>
      </c>
      <c r="V103">
        <v>120.4</v>
      </c>
      <c r="W103">
        <v>122.6</v>
      </c>
      <c r="X103">
        <v>119.8</v>
      </c>
      <c r="Y103">
        <v>111.3</v>
      </c>
      <c r="Z103">
        <v>118.3</v>
      </c>
      <c r="AA103">
        <v>125.7</v>
      </c>
      <c r="AB103">
        <v>113.4</v>
      </c>
      <c r="AC103">
        <v>117.5</v>
      </c>
      <c r="AD103">
        <v>125.4</v>
      </c>
    </row>
    <row r="104" spans="1:30" hidden="1" x14ac:dyDescent="0.3">
      <c r="A104" t="s">
        <v>30</v>
      </c>
      <c r="B104">
        <v>2015</v>
      </c>
      <c r="C104" t="s">
        <v>43</v>
      </c>
      <c r="D104">
        <v>125.6</v>
      </c>
      <c r="E104">
        <v>130.4</v>
      </c>
      <c r="F104">
        <v>120.8</v>
      </c>
      <c r="G104">
        <v>129.4</v>
      </c>
      <c r="H104">
        <v>115.8</v>
      </c>
      <c r="I104">
        <v>133.19999999999999</v>
      </c>
      <c r="J104">
        <v>157.69999999999999</v>
      </c>
      <c r="K104">
        <v>154.19999999999999</v>
      </c>
      <c r="L104">
        <v>93.7</v>
      </c>
      <c r="M104">
        <v>126.6</v>
      </c>
      <c r="N104">
        <v>122.3</v>
      </c>
      <c r="O104">
        <v>133.1</v>
      </c>
      <c r="P104">
        <v>131.80000000000001</v>
      </c>
      <c r="Q104">
        <v>131.5</v>
      </c>
      <c r="R104">
        <v>131.1</v>
      </c>
      <c r="S104">
        <v>127.3</v>
      </c>
      <c r="T104">
        <v>130.6</v>
      </c>
      <c r="U104" t="s">
        <v>32</v>
      </c>
      <c r="V104">
        <v>124.4</v>
      </c>
      <c r="W104">
        <v>125.1</v>
      </c>
      <c r="X104">
        <v>122</v>
      </c>
      <c r="Y104">
        <v>113.8</v>
      </c>
      <c r="Z104">
        <v>120.1</v>
      </c>
      <c r="AA104">
        <v>125.1</v>
      </c>
      <c r="AB104">
        <v>114.2</v>
      </c>
      <c r="AC104">
        <v>119.2</v>
      </c>
      <c r="AD104">
        <v>127.7</v>
      </c>
    </row>
    <row r="105" spans="1:30" hidden="1" x14ac:dyDescent="0.3">
      <c r="A105" t="s">
        <v>33</v>
      </c>
      <c r="B105">
        <v>2015</v>
      </c>
      <c r="C105" t="s">
        <v>43</v>
      </c>
      <c r="D105">
        <v>123.6</v>
      </c>
      <c r="E105">
        <v>128.6</v>
      </c>
      <c r="F105">
        <v>115.9</v>
      </c>
      <c r="G105">
        <v>128.5</v>
      </c>
      <c r="H105">
        <v>109</v>
      </c>
      <c r="I105">
        <v>124.1</v>
      </c>
      <c r="J105">
        <v>165.8</v>
      </c>
      <c r="K105">
        <v>187.2</v>
      </c>
      <c r="L105">
        <v>89.4</v>
      </c>
      <c r="M105">
        <v>135.80000000000001</v>
      </c>
      <c r="N105">
        <v>119.4</v>
      </c>
      <c r="O105">
        <v>132.9</v>
      </c>
      <c r="P105">
        <v>132.6</v>
      </c>
      <c r="Q105">
        <v>135.30000000000001</v>
      </c>
      <c r="R105">
        <v>124.4</v>
      </c>
      <c r="S105">
        <v>118.8</v>
      </c>
      <c r="T105">
        <v>123.6</v>
      </c>
      <c r="U105">
        <v>122.4</v>
      </c>
      <c r="V105">
        <v>114.9</v>
      </c>
      <c r="W105">
        <v>120.7</v>
      </c>
      <c r="X105">
        <v>117.7</v>
      </c>
      <c r="Y105">
        <v>109.3</v>
      </c>
      <c r="Z105">
        <v>117.7</v>
      </c>
      <c r="AA105">
        <v>126.5</v>
      </c>
      <c r="AB105">
        <v>113.5</v>
      </c>
      <c r="AC105">
        <v>116.5</v>
      </c>
      <c r="AD105">
        <v>124.2</v>
      </c>
    </row>
    <row r="106" spans="1:30" hidden="1" x14ac:dyDescent="0.3">
      <c r="A106" t="s">
        <v>34</v>
      </c>
      <c r="B106">
        <v>2015</v>
      </c>
      <c r="C106" t="s">
        <v>43</v>
      </c>
      <c r="D106">
        <v>125</v>
      </c>
      <c r="E106">
        <v>129.80000000000001</v>
      </c>
      <c r="F106">
        <v>118.9</v>
      </c>
      <c r="G106">
        <v>129.1</v>
      </c>
      <c r="H106">
        <v>113.3</v>
      </c>
      <c r="I106">
        <v>129</v>
      </c>
      <c r="J106">
        <v>160.4</v>
      </c>
      <c r="K106">
        <v>165.3</v>
      </c>
      <c r="L106">
        <v>92.3</v>
      </c>
      <c r="M106">
        <v>129.69999999999999</v>
      </c>
      <c r="N106">
        <v>121.1</v>
      </c>
      <c r="O106">
        <v>133</v>
      </c>
      <c r="P106">
        <v>132.1</v>
      </c>
      <c r="Q106">
        <v>132.5</v>
      </c>
      <c r="R106">
        <v>128.5</v>
      </c>
      <c r="S106">
        <v>123.8</v>
      </c>
      <c r="T106">
        <v>127.8</v>
      </c>
      <c r="U106">
        <v>122.4</v>
      </c>
      <c r="V106">
        <v>120.8</v>
      </c>
      <c r="W106">
        <v>123</v>
      </c>
      <c r="X106">
        <v>120.4</v>
      </c>
      <c r="Y106">
        <v>111.4</v>
      </c>
      <c r="Z106">
        <v>118.7</v>
      </c>
      <c r="AA106">
        <v>125.9</v>
      </c>
      <c r="AB106">
        <v>113.9</v>
      </c>
      <c r="AC106">
        <v>117.9</v>
      </c>
      <c r="AD106">
        <v>126.1</v>
      </c>
    </row>
    <row r="107" spans="1:30" hidden="1" x14ac:dyDescent="0.3">
      <c r="A107" t="s">
        <v>30</v>
      </c>
      <c r="B107">
        <v>2015</v>
      </c>
      <c r="C107" t="s">
        <v>45</v>
      </c>
      <c r="D107">
        <v>126.1</v>
      </c>
      <c r="E107">
        <v>130.6</v>
      </c>
      <c r="F107">
        <v>121.7</v>
      </c>
      <c r="G107">
        <v>129.5</v>
      </c>
      <c r="H107">
        <v>117.8</v>
      </c>
      <c r="I107">
        <v>132.1</v>
      </c>
      <c r="J107">
        <v>155.19999999999999</v>
      </c>
      <c r="K107">
        <v>160.80000000000001</v>
      </c>
      <c r="L107">
        <v>94.5</v>
      </c>
      <c r="M107">
        <v>128.30000000000001</v>
      </c>
      <c r="N107">
        <v>123.1</v>
      </c>
      <c r="O107">
        <v>134.19999999999999</v>
      </c>
      <c r="P107">
        <v>132.4</v>
      </c>
      <c r="Q107">
        <v>132.19999999999999</v>
      </c>
      <c r="R107">
        <v>132.1</v>
      </c>
      <c r="S107">
        <v>128.19999999999999</v>
      </c>
      <c r="T107">
        <v>131.5</v>
      </c>
      <c r="U107" t="s">
        <v>32</v>
      </c>
      <c r="V107">
        <v>125.6</v>
      </c>
      <c r="W107">
        <v>125.6</v>
      </c>
      <c r="X107">
        <v>122.6</v>
      </c>
      <c r="Y107">
        <v>114</v>
      </c>
      <c r="Z107">
        <v>120.9</v>
      </c>
      <c r="AA107">
        <v>125.8</v>
      </c>
      <c r="AB107">
        <v>114.2</v>
      </c>
      <c r="AC107">
        <v>119.6</v>
      </c>
      <c r="AD107">
        <v>128.30000000000001</v>
      </c>
    </row>
    <row r="108" spans="1:30" hidden="1" x14ac:dyDescent="0.3">
      <c r="A108" t="s">
        <v>33</v>
      </c>
      <c r="B108">
        <v>2015</v>
      </c>
      <c r="C108" t="s">
        <v>45</v>
      </c>
      <c r="D108">
        <v>124</v>
      </c>
      <c r="E108">
        <v>129.80000000000001</v>
      </c>
      <c r="F108">
        <v>121.5</v>
      </c>
      <c r="G108">
        <v>128.6</v>
      </c>
      <c r="H108">
        <v>110</v>
      </c>
      <c r="I108">
        <v>123.7</v>
      </c>
      <c r="J108">
        <v>164.6</v>
      </c>
      <c r="K108">
        <v>191.6</v>
      </c>
      <c r="L108">
        <v>90.8</v>
      </c>
      <c r="M108">
        <v>137.1</v>
      </c>
      <c r="N108">
        <v>119.8</v>
      </c>
      <c r="O108">
        <v>133.69999999999999</v>
      </c>
      <c r="P108">
        <v>133.30000000000001</v>
      </c>
      <c r="Q108">
        <v>137.6</v>
      </c>
      <c r="R108">
        <v>125</v>
      </c>
      <c r="S108">
        <v>119.3</v>
      </c>
      <c r="T108">
        <v>124.2</v>
      </c>
      <c r="U108">
        <v>122.9</v>
      </c>
      <c r="V108">
        <v>115.1</v>
      </c>
      <c r="W108">
        <v>121</v>
      </c>
      <c r="X108">
        <v>118.1</v>
      </c>
      <c r="Y108">
        <v>109.3</v>
      </c>
      <c r="Z108">
        <v>117.9</v>
      </c>
      <c r="AA108">
        <v>126.6</v>
      </c>
      <c r="AB108">
        <v>113.3</v>
      </c>
      <c r="AC108">
        <v>116.6</v>
      </c>
      <c r="AD108">
        <v>124.6</v>
      </c>
    </row>
    <row r="109" spans="1:30" hidden="1" x14ac:dyDescent="0.3">
      <c r="A109" t="s">
        <v>34</v>
      </c>
      <c r="B109">
        <v>2015</v>
      </c>
      <c r="C109" t="s">
        <v>45</v>
      </c>
      <c r="D109">
        <v>125.4</v>
      </c>
      <c r="E109">
        <v>130.30000000000001</v>
      </c>
      <c r="F109">
        <v>121.6</v>
      </c>
      <c r="G109">
        <v>129.19999999999999</v>
      </c>
      <c r="H109">
        <v>114.9</v>
      </c>
      <c r="I109">
        <v>128.19999999999999</v>
      </c>
      <c r="J109">
        <v>158.4</v>
      </c>
      <c r="K109">
        <v>171.2</v>
      </c>
      <c r="L109">
        <v>93.3</v>
      </c>
      <c r="M109">
        <v>131.19999999999999</v>
      </c>
      <c r="N109">
        <v>121.7</v>
      </c>
      <c r="O109">
        <v>134</v>
      </c>
      <c r="P109">
        <v>132.69999999999999</v>
      </c>
      <c r="Q109">
        <v>133.6</v>
      </c>
      <c r="R109">
        <v>129.30000000000001</v>
      </c>
      <c r="S109">
        <v>124.5</v>
      </c>
      <c r="T109">
        <v>128.6</v>
      </c>
      <c r="U109">
        <v>122.9</v>
      </c>
      <c r="V109">
        <v>121.6</v>
      </c>
      <c r="W109">
        <v>123.4</v>
      </c>
      <c r="X109">
        <v>120.9</v>
      </c>
      <c r="Y109">
        <v>111.5</v>
      </c>
      <c r="Z109">
        <v>119.2</v>
      </c>
      <c r="AA109">
        <v>126.3</v>
      </c>
      <c r="AB109">
        <v>113.8</v>
      </c>
      <c r="AC109">
        <v>118.1</v>
      </c>
      <c r="AD109">
        <v>126.6</v>
      </c>
    </row>
    <row r="110" spans="1:30" hidden="1" x14ac:dyDescent="0.3">
      <c r="A110" t="s">
        <v>30</v>
      </c>
      <c r="B110">
        <v>2015</v>
      </c>
      <c r="C110" t="s">
        <v>46</v>
      </c>
      <c r="D110">
        <v>126.3</v>
      </c>
      <c r="E110">
        <v>131.30000000000001</v>
      </c>
      <c r="F110">
        <v>123.3</v>
      </c>
      <c r="G110">
        <v>129.80000000000001</v>
      </c>
      <c r="H110">
        <v>118.3</v>
      </c>
      <c r="I110">
        <v>131.6</v>
      </c>
      <c r="J110">
        <v>145.5</v>
      </c>
      <c r="K110">
        <v>162.1</v>
      </c>
      <c r="L110">
        <v>95.4</v>
      </c>
      <c r="M110">
        <v>128.9</v>
      </c>
      <c r="N110">
        <v>123.3</v>
      </c>
      <c r="O110">
        <v>135.1</v>
      </c>
      <c r="P110">
        <v>131.4</v>
      </c>
      <c r="Q110">
        <v>133.1</v>
      </c>
      <c r="R110">
        <v>132.5</v>
      </c>
      <c r="S110">
        <v>128.5</v>
      </c>
      <c r="T110">
        <v>131.9</v>
      </c>
      <c r="U110" t="s">
        <v>32</v>
      </c>
      <c r="V110">
        <v>125.7</v>
      </c>
      <c r="W110">
        <v>126</v>
      </c>
      <c r="X110">
        <v>123.1</v>
      </c>
      <c r="Y110">
        <v>114</v>
      </c>
      <c r="Z110">
        <v>121.6</v>
      </c>
      <c r="AA110">
        <v>125.6</v>
      </c>
      <c r="AB110">
        <v>114.1</v>
      </c>
      <c r="AC110">
        <v>119.8</v>
      </c>
      <c r="AD110">
        <v>127.9</v>
      </c>
    </row>
    <row r="111" spans="1:30" hidden="1" x14ac:dyDescent="0.3">
      <c r="A111" t="s">
        <v>33</v>
      </c>
      <c r="B111">
        <v>2015</v>
      </c>
      <c r="C111" t="s">
        <v>46</v>
      </c>
      <c r="D111">
        <v>124.3</v>
      </c>
      <c r="E111">
        <v>131.69999999999999</v>
      </c>
      <c r="F111">
        <v>127.1</v>
      </c>
      <c r="G111">
        <v>128.6</v>
      </c>
      <c r="H111">
        <v>110</v>
      </c>
      <c r="I111">
        <v>120.8</v>
      </c>
      <c r="J111">
        <v>149</v>
      </c>
      <c r="K111">
        <v>190.1</v>
      </c>
      <c r="L111">
        <v>92.7</v>
      </c>
      <c r="M111">
        <v>138.6</v>
      </c>
      <c r="N111">
        <v>120.2</v>
      </c>
      <c r="O111">
        <v>134.19999999999999</v>
      </c>
      <c r="P111">
        <v>131.5</v>
      </c>
      <c r="Q111">
        <v>138.19999999999999</v>
      </c>
      <c r="R111">
        <v>125.4</v>
      </c>
      <c r="S111">
        <v>119.5</v>
      </c>
      <c r="T111">
        <v>124.5</v>
      </c>
      <c r="U111">
        <v>122.4</v>
      </c>
      <c r="V111">
        <v>116</v>
      </c>
      <c r="W111">
        <v>121</v>
      </c>
      <c r="X111">
        <v>118.6</v>
      </c>
      <c r="Y111">
        <v>109.3</v>
      </c>
      <c r="Z111">
        <v>118.1</v>
      </c>
      <c r="AA111">
        <v>126.6</v>
      </c>
      <c r="AB111">
        <v>113.2</v>
      </c>
      <c r="AC111">
        <v>116.7</v>
      </c>
      <c r="AD111">
        <v>124</v>
      </c>
    </row>
    <row r="112" spans="1:30" hidden="1" x14ac:dyDescent="0.3">
      <c r="A112" t="s">
        <v>34</v>
      </c>
      <c r="B112">
        <v>2015</v>
      </c>
      <c r="C112" t="s">
        <v>46</v>
      </c>
      <c r="D112">
        <v>125.7</v>
      </c>
      <c r="E112">
        <v>131.4</v>
      </c>
      <c r="F112">
        <v>124.8</v>
      </c>
      <c r="G112">
        <v>129.4</v>
      </c>
      <c r="H112">
        <v>115.3</v>
      </c>
      <c r="I112">
        <v>126.6</v>
      </c>
      <c r="J112">
        <v>146.69999999999999</v>
      </c>
      <c r="K112">
        <v>171.5</v>
      </c>
      <c r="L112">
        <v>94.5</v>
      </c>
      <c r="M112">
        <v>132.1</v>
      </c>
      <c r="N112">
        <v>122</v>
      </c>
      <c r="O112">
        <v>134.69999999999999</v>
      </c>
      <c r="P112">
        <v>131.4</v>
      </c>
      <c r="Q112">
        <v>134.5</v>
      </c>
      <c r="R112">
        <v>129.69999999999999</v>
      </c>
      <c r="S112">
        <v>124.8</v>
      </c>
      <c r="T112">
        <v>129</v>
      </c>
      <c r="U112">
        <v>122.4</v>
      </c>
      <c r="V112">
        <v>122</v>
      </c>
      <c r="W112">
        <v>123.6</v>
      </c>
      <c r="X112">
        <v>121.4</v>
      </c>
      <c r="Y112">
        <v>111.5</v>
      </c>
      <c r="Z112">
        <v>119.6</v>
      </c>
      <c r="AA112">
        <v>126.2</v>
      </c>
      <c r="AB112">
        <v>113.7</v>
      </c>
      <c r="AC112">
        <v>118.3</v>
      </c>
      <c r="AD112">
        <v>126.1</v>
      </c>
    </row>
    <row r="113" spans="1:30" hidden="1" x14ac:dyDescent="0.3">
      <c r="A113" t="s">
        <v>30</v>
      </c>
      <c r="B113">
        <v>2016</v>
      </c>
      <c r="C113" t="s">
        <v>31</v>
      </c>
      <c r="D113">
        <v>126.8</v>
      </c>
      <c r="E113">
        <v>133.19999999999999</v>
      </c>
      <c r="F113">
        <v>126.5</v>
      </c>
      <c r="G113">
        <v>130.30000000000001</v>
      </c>
      <c r="H113">
        <v>118.9</v>
      </c>
      <c r="I113">
        <v>131.6</v>
      </c>
      <c r="J113">
        <v>140.1</v>
      </c>
      <c r="K113">
        <v>163.80000000000001</v>
      </c>
      <c r="L113">
        <v>97.7</v>
      </c>
      <c r="M113">
        <v>129.6</v>
      </c>
      <c r="N113">
        <v>124.3</v>
      </c>
      <c r="O113">
        <v>135.9</v>
      </c>
      <c r="P113">
        <v>131.4</v>
      </c>
      <c r="Q113">
        <v>133.6</v>
      </c>
      <c r="R113">
        <v>133.19999999999999</v>
      </c>
      <c r="S113">
        <v>128.9</v>
      </c>
      <c r="T113">
        <v>132.6</v>
      </c>
      <c r="U113" t="s">
        <v>32</v>
      </c>
      <c r="V113">
        <v>126.2</v>
      </c>
      <c r="W113">
        <v>126.6</v>
      </c>
      <c r="X113">
        <v>123.7</v>
      </c>
      <c r="Y113">
        <v>113.6</v>
      </c>
      <c r="Z113">
        <v>121.4</v>
      </c>
      <c r="AA113">
        <v>126.2</v>
      </c>
      <c r="AB113">
        <v>114.9</v>
      </c>
      <c r="AC113">
        <v>120.1</v>
      </c>
      <c r="AD113">
        <v>128.1</v>
      </c>
    </row>
    <row r="114" spans="1:30" hidden="1" x14ac:dyDescent="0.3">
      <c r="A114" t="s">
        <v>33</v>
      </c>
      <c r="B114">
        <v>2016</v>
      </c>
      <c r="C114" t="s">
        <v>31</v>
      </c>
      <c r="D114">
        <v>124.7</v>
      </c>
      <c r="E114">
        <v>135.9</v>
      </c>
      <c r="F114">
        <v>132</v>
      </c>
      <c r="G114">
        <v>129.19999999999999</v>
      </c>
      <c r="H114">
        <v>109.7</v>
      </c>
      <c r="I114">
        <v>119</v>
      </c>
      <c r="J114">
        <v>144.1</v>
      </c>
      <c r="K114">
        <v>184.2</v>
      </c>
      <c r="L114">
        <v>96.7</v>
      </c>
      <c r="M114">
        <v>139.5</v>
      </c>
      <c r="N114">
        <v>120.5</v>
      </c>
      <c r="O114">
        <v>134.69999999999999</v>
      </c>
      <c r="P114">
        <v>131.19999999999999</v>
      </c>
      <c r="Q114">
        <v>139.5</v>
      </c>
      <c r="R114">
        <v>125.8</v>
      </c>
      <c r="S114">
        <v>119.8</v>
      </c>
      <c r="T114">
        <v>124.9</v>
      </c>
      <c r="U114">
        <v>123.4</v>
      </c>
      <c r="V114">
        <v>116.9</v>
      </c>
      <c r="W114">
        <v>121.6</v>
      </c>
      <c r="X114">
        <v>119.1</v>
      </c>
      <c r="Y114">
        <v>108.9</v>
      </c>
      <c r="Z114">
        <v>118.5</v>
      </c>
      <c r="AA114">
        <v>126.4</v>
      </c>
      <c r="AB114">
        <v>114</v>
      </c>
      <c r="AC114">
        <v>116.8</v>
      </c>
      <c r="AD114">
        <v>124.2</v>
      </c>
    </row>
    <row r="115" spans="1:30" hidden="1" x14ac:dyDescent="0.3">
      <c r="A115" t="s">
        <v>34</v>
      </c>
      <c r="B115">
        <v>2016</v>
      </c>
      <c r="C115" t="s">
        <v>31</v>
      </c>
      <c r="D115">
        <v>126.1</v>
      </c>
      <c r="E115">
        <v>134.1</v>
      </c>
      <c r="F115">
        <v>128.6</v>
      </c>
      <c r="G115">
        <v>129.9</v>
      </c>
      <c r="H115">
        <v>115.5</v>
      </c>
      <c r="I115">
        <v>125.7</v>
      </c>
      <c r="J115">
        <v>141.5</v>
      </c>
      <c r="K115">
        <v>170.7</v>
      </c>
      <c r="L115">
        <v>97.4</v>
      </c>
      <c r="M115">
        <v>132.9</v>
      </c>
      <c r="N115">
        <v>122.7</v>
      </c>
      <c r="O115">
        <v>135.30000000000001</v>
      </c>
      <c r="P115">
        <v>131.30000000000001</v>
      </c>
      <c r="Q115">
        <v>135.19999999999999</v>
      </c>
      <c r="R115">
        <v>130.30000000000001</v>
      </c>
      <c r="S115">
        <v>125.1</v>
      </c>
      <c r="T115">
        <v>129.5</v>
      </c>
      <c r="U115">
        <v>123.4</v>
      </c>
      <c r="V115">
        <v>122.7</v>
      </c>
      <c r="W115">
        <v>124.2</v>
      </c>
      <c r="X115">
        <v>122</v>
      </c>
      <c r="Y115">
        <v>111.1</v>
      </c>
      <c r="Z115">
        <v>119.8</v>
      </c>
      <c r="AA115">
        <v>126.3</v>
      </c>
      <c r="AB115">
        <v>114.5</v>
      </c>
      <c r="AC115">
        <v>118.5</v>
      </c>
      <c r="AD115">
        <v>126.3</v>
      </c>
    </row>
    <row r="116" spans="1:30" hidden="1" x14ac:dyDescent="0.3">
      <c r="A116" t="s">
        <v>30</v>
      </c>
      <c r="B116">
        <v>2016</v>
      </c>
      <c r="C116" t="s">
        <v>35</v>
      </c>
      <c r="D116">
        <v>127.1</v>
      </c>
      <c r="E116">
        <v>133.69999999999999</v>
      </c>
      <c r="F116">
        <v>127.7</v>
      </c>
      <c r="G116">
        <v>130.69999999999999</v>
      </c>
      <c r="H116">
        <v>118.5</v>
      </c>
      <c r="I116">
        <v>130.4</v>
      </c>
      <c r="J116">
        <v>130.9</v>
      </c>
      <c r="K116">
        <v>162.80000000000001</v>
      </c>
      <c r="L116">
        <v>98.7</v>
      </c>
      <c r="M116">
        <v>130.6</v>
      </c>
      <c r="N116">
        <v>124.8</v>
      </c>
      <c r="O116">
        <v>136.4</v>
      </c>
      <c r="P116">
        <v>130.30000000000001</v>
      </c>
      <c r="Q116">
        <v>134.4</v>
      </c>
      <c r="R116">
        <v>133.9</v>
      </c>
      <c r="S116">
        <v>129.80000000000001</v>
      </c>
      <c r="T116">
        <v>133.4</v>
      </c>
      <c r="U116" t="s">
        <v>32</v>
      </c>
      <c r="V116">
        <v>127.5</v>
      </c>
      <c r="W116">
        <v>127.1</v>
      </c>
      <c r="X116">
        <v>124.3</v>
      </c>
      <c r="Y116">
        <v>113.9</v>
      </c>
      <c r="Z116">
        <v>122.3</v>
      </c>
      <c r="AA116">
        <v>127.1</v>
      </c>
      <c r="AB116">
        <v>116.8</v>
      </c>
      <c r="AC116">
        <v>120.9</v>
      </c>
      <c r="AD116">
        <v>127.9</v>
      </c>
    </row>
    <row r="117" spans="1:30" hidden="1" x14ac:dyDescent="0.3">
      <c r="A117" t="s">
        <v>33</v>
      </c>
      <c r="B117">
        <v>2016</v>
      </c>
      <c r="C117" t="s">
        <v>35</v>
      </c>
      <c r="D117">
        <v>124.8</v>
      </c>
      <c r="E117">
        <v>135.1</v>
      </c>
      <c r="F117">
        <v>130.30000000000001</v>
      </c>
      <c r="G117">
        <v>129.6</v>
      </c>
      <c r="H117">
        <v>108.4</v>
      </c>
      <c r="I117">
        <v>118.6</v>
      </c>
      <c r="J117">
        <v>129.19999999999999</v>
      </c>
      <c r="K117">
        <v>176.4</v>
      </c>
      <c r="L117">
        <v>99.1</v>
      </c>
      <c r="M117">
        <v>139.69999999999999</v>
      </c>
      <c r="N117">
        <v>120.6</v>
      </c>
      <c r="O117">
        <v>135.19999999999999</v>
      </c>
      <c r="P117">
        <v>129.1</v>
      </c>
      <c r="Q117">
        <v>140</v>
      </c>
      <c r="R117">
        <v>126.2</v>
      </c>
      <c r="S117">
        <v>120.1</v>
      </c>
      <c r="T117">
        <v>125.3</v>
      </c>
      <c r="U117">
        <v>124.4</v>
      </c>
      <c r="V117">
        <v>116</v>
      </c>
      <c r="W117">
        <v>121.8</v>
      </c>
      <c r="X117">
        <v>119.5</v>
      </c>
      <c r="Y117">
        <v>109.1</v>
      </c>
      <c r="Z117">
        <v>118.8</v>
      </c>
      <c r="AA117">
        <v>126.3</v>
      </c>
      <c r="AB117">
        <v>116.2</v>
      </c>
      <c r="AC117">
        <v>117.2</v>
      </c>
      <c r="AD117">
        <v>123.8</v>
      </c>
    </row>
    <row r="118" spans="1:30" hidden="1" x14ac:dyDescent="0.3">
      <c r="A118" t="s">
        <v>34</v>
      </c>
      <c r="B118">
        <v>2016</v>
      </c>
      <c r="C118" t="s">
        <v>35</v>
      </c>
      <c r="D118">
        <v>126.4</v>
      </c>
      <c r="E118">
        <v>134.19999999999999</v>
      </c>
      <c r="F118">
        <v>128.69999999999999</v>
      </c>
      <c r="G118">
        <v>130.30000000000001</v>
      </c>
      <c r="H118">
        <v>114.8</v>
      </c>
      <c r="I118">
        <v>124.9</v>
      </c>
      <c r="J118">
        <v>130.30000000000001</v>
      </c>
      <c r="K118">
        <v>167.4</v>
      </c>
      <c r="L118">
        <v>98.8</v>
      </c>
      <c r="M118">
        <v>133.6</v>
      </c>
      <c r="N118">
        <v>123</v>
      </c>
      <c r="O118">
        <v>135.80000000000001</v>
      </c>
      <c r="P118">
        <v>129.9</v>
      </c>
      <c r="Q118">
        <v>135.9</v>
      </c>
      <c r="R118">
        <v>130.9</v>
      </c>
      <c r="S118">
        <v>125.8</v>
      </c>
      <c r="T118">
        <v>130.19999999999999</v>
      </c>
      <c r="U118">
        <v>124.4</v>
      </c>
      <c r="V118">
        <v>123.1</v>
      </c>
      <c r="W118">
        <v>124.6</v>
      </c>
      <c r="X118">
        <v>122.5</v>
      </c>
      <c r="Y118">
        <v>111.4</v>
      </c>
      <c r="Z118">
        <v>120.3</v>
      </c>
      <c r="AA118">
        <v>126.6</v>
      </c>
      <c r="AB118">
        <v>116.6</v>
      </c>
      <c r="AC118">
        <v>119.1</v>
      </c>
      <c r="AD118">
        <v>126</v>
      </c>
    </row>
    <row r="119" spans="1:30" hidden="1" x14ac:dyDescent="0.3">
      <c r="A119" t="s">
        <v>30</v>
      </c>
      <c r="B119">
        <v>2016</v>
      </c>
      <c r="C119" t="s">
        <v>36</v>
      </c>
      <c r="D119">
        <v>127.3</v>
      </c>
      <c r="E119">
        <v>134.4</v>
      </c>
      <c r="F119">
        <v>125.1</v>
      </c>
      <c r="G119">
        <v>130.5</v>
      </c>
      <c r="H119">
        <v>118.3</v>
      </c>
      <c r="I119">
        <v>131.69999999999999</v>
      </c>
      <c r="J119">
        <v>130.69999999999999</v>
      </c>
      <c r="K119">
        <v>161.19999999999999</v>
      </c>
      <c r="L119">
        <v>100.4</v>
      </c>
      <c r="M119">
        <v>130.80000000000001</v>
      </c>
      <c r="N119">
        <v>124.9</v>
      </c>
      <c r="O119">
        <v>137</v>
      </c>
      <c r="P119">
        <v>130.4</v>
      </c>
      <c r="Q119">
        <v>135</v>
      </c>
      <c r="R119">
        <v>134.4</v>
      </c>
      <c r="S119">
        <v>130.19999999999999</v>
      </c>
      <c r="T119">
        <v>133.80000000000001</v>
      </c>
      <c r="U119" t="s">
        <v>32</v>
      </c>
      <c r="V119">
        <v>127</v>
      </c>
      <c r="W119">
        <v>127.7</v>
      </c>
      <c r="X119">
        <v>124.8</v>
      </c>
      <c r="Y119">
        <v>113.6</v>
      </c>
      <c r="Z119">
        <v>122.5</v>
      </c>
      <c r="AA119">
        <v>127.5</v>
      </c>
      <c r="AB119">
        <v>117.4</v>
      </c>
      <c r="AC119">
        <v>121.1</v>
      </c>
      <c r="AD119">
        <v>128</v>
      </c>
    </row>
    <row r="120" spans="1:30" hidden="1" x14ac:dyDescent="0.3">
      <c r="A120" t="s">
        <v>33</v>
      </c>
      <c r="B120">
        <v>2016</v>
      </c>
      <c r="C120" t="s">
        <v>36</v>
      </c>
      <c r="D120">
        <v>124.8</v>
      </c>
      <c r="E120">
        <v>136.30000000000001</v>
      </c>
      <c r="F120">
        <v>123.7</v>
      </c>
      <c r="G120">
        <v>129.69999999999999</v>
      </c>
      <c r="H120">
        <v>107.9</v>
      </c>
      <c r="I120">
        <v>119.9</v>
      </c>
      <c r="J120">
        <v>128.1</v>
      </c>
      <c r="K120">
        <v>170.3</v>
      </c>
      <c r="L120">
        <v>101.8</v>
      </c>
      <c r="M120">
        <v>140.1</v>
      </c>
      <c r="N120">
        <v>120.7</v>
      </c>
      <c r="O120">
        <v>135.4</v>
      </c>
      <c r="P120">
        <v>128.9</v>
      </c>
      <c r="Q120">
        <v>140.6</v>
      </c>
      <c r="R120">
        <v>126.4</v>
      </c>
      <c r="S120">
        <v>120.3</v>
      </c>
      <c r="T120">
        <v>125.5</v>
      </c>
      <c r="U120">
        <v>124.9</v>
      </c>
      <c r="V120">
        <v>114.8</v>
      </c>
      <c r="W120">
        <v>122.3</v>
      </c>
      <c r="X120">
        <v>119.7</v>
      </c>
      <c r="Y120">
        <v>108.5</v>
      </c>
      <c r="Z120">
        <v>119.1</v>
      </c>
      <c r="AA120">
        <v>126.4</v>
      </c>
      <c r="AB120">
        <v>117.1</v>
      </c>
      <c r="AC120">
        <v>117.3</v>
      </c>
      <c r="AD120">
        <v>123.8</v>
      </c>
    </row>
    <row r="121" spans="1:30" hidden="1" x14ac:dyDescent="0.3">
      <c r="A121" t="s">
        <v>34</v>
      </c>
      <c r="B121">
        <v>2016</v>
      </c>
      <c r="C121" t="s">
        <v>36</v>
      </c>
      <c r="D121">
        <v>126.5</v>
      </c>
      <c r="E121">
        <v>135.1</v>
      </c>
      <c r="F121">
        <v>124.6</v>
      </c>
      <c r="G121">
        <v>130.19999999999999</v>
      </c>
      <c r="H121">
        <v>114.5</v>
      </c>
      <c r="I121">
        <v>126.2</v>
      </c>
      <c r="J121">
        <v>129.80000000000001</v>
      </c>
      <c r="K121">
        <v>164.3</v>
      </c>
      <c r="L121">
        <v>100.9</v>
      </c>
      <c r="M121">
        <v>133.9</v>
      </c>
      <c r="N121">
        <v>123.1</v>
      </c>
      <c r="O121">
        <v>136.30000000000001</v>
      </c>
      <c r="P121">
        <v>129.80000000000001</v>
      </c>
      <c r="Q121">
        <v>136.5</v>
      </c>
      <c r="R121">
        <v>131.30000000000001</v>
      </c>
      <c r="S121">
        <v>126.1</v>
      </c>
      <c r="T121">
        <v>130.5</v>
      </c>
      <c r="U121">
        <v>124.9</v>
      </c>
      <c r="V121">
        <v>122.4</v>
      </c>
      <c r="W121">
        <v>125.1</v>
      </c>
      <c r="X121">
        <v>122.9</v>
      </c>
      <c r="Y121">
        <v>110.9</v>
      </c>
      <c r="Z121">
        <v>120.6</v>
      </c>
      <c r="AA121">
        <v>126.9</v>
      </c>
      <c r="AB121">
        <v>117.3</v>
      </c>
      <c r="AC121">
        <v>119.3</v>
      </c>
      <c r="AD121">
        <v>126</v>
      </c>
    </row>
    <row r="122" spans="1:30" hidden="1" x14ac:dyDescent="0.3">
      <c r="A122" t="s">
        <v>30</v>
      </c>
      <c r="B122">
        <v>2016</v>
      </c>
      <c r="C122" t="s">
        <v>37</v>
      </c>
      <c r="D122">
        <v>127.4</v>
      </c>
      <c r="E122">
        <v>135.4</v>
      </c>
      <c r="F122">
        <v>123.4</v>
      </c>
      <c r="G122">
        <v>131.30000000000001</v>
      </c>
      <c r="H122">
        <v>118.2</v>
      </c>
      <c r="I122">
        <v>138.1</v>
      </c>
      <c r="J122">
        <v>134.1</v>
      </c>
      <c r="K122">
        <v>162.69999999999999</v>
      </c>
      <c r="L122">
        <v>105</v>
      </c>
      <c r="M122">
        <v>131.4</v>
      </c>
      <c r="N122">
        <v>125.4</v>
      </c>
      <c r="O122">
        <v>137.4</v>
      </c>
      <c r="P122">
        <v>131.80000000000001</v>
      </c>
      <c r="Q122">
        <v>135.5</v>
      </c>
      <c r="R122">
        <v>135</v>
      </c>
      <c r="S122">
        <v>130.6</v>
      </c>
      <c r="T122">
        <v>134.4</v>
      </c>
      <c r="U122" t="s">
        <v>32</v>
      </c>
      <c r="V122">
        <v>127</v>
      </c>
      <c r="W122">
        <v>128</v>
      </c>
      <c r="X122">
        <v>125.2</v>
      </c>
      <c r="Y122">
        <v>114.4</v>
      </c>
      <c r="Z122">
        <v>123.2</v>
      </c>
      <c r="AA122">
        <v>127.9</v>
      </c>
      <c r="AB122">
        <v>118.4</v>
      </c>
      <c r="AC122">
        <v>121.7</v>
      </c>
      <c r="AD122">
        <v>129</v>
      </c>
    </row>
    <row r="123" spans="1:30" hidden="1" x14ac:dyDescent="0.3">
      <c r="A123" t="s">
        <v>33</v>
      </c>
      <c r="B123">
        <v>2016</v>
      </c>
      <c r="C123" t="s">
        <v>37</v>
      </c>
      <c r="D123">
        <v>124.9</v>
      </c>
      <c r="E123">
        <v>139.30000000000001</v>
      </c>
      <c r="F123">
        <v>119.9</v>
      </c>
      <c r="G123">
        <v>130.19999999999999</v>
      </c>
      <c r="H123">
        <v>108.9</v>
      </c>
      <c r="I123">
        <v>131.1</v>
      </c>
      <c r="J123">
        <v>136.80000000000001</v>
      </c>
      <c r="K123">
        <v>176.9</v>
      </c>
      <c r="L123">
        <v>109.1</v>
      </c>
      <c r="M123">
        <v>140.4</v>
      </c>
      <c r="N123">
        <v>121.1</v>
      </c>
      <c r="O123">
        <v>135.9</v>
      </c>
      <c r="P123">
        <v>131.80000000000001</v>
      </c>
      <c r="Q123">
        <v>141.5</v>
      </c>
      <c r="R123">
        <v>126.8</v>
      </c>
      <c r="S123">
        <v>120.5</v>
      </c>
      <c r="T123">
        <v>125.8</v>
      </c>
      <c r="U123">
        <v>125.6</v>
      </c>
      <c r="V123">
        <v>114.6</v>
      </c>
      <c r="W123">
        <v>122.8</v>
      </c>
      <c r="X123">
        <v>120</v>
      </c>
      <c r="Y123">
        <v>110</v>
      </c>
      <c r="Z123">
        <v>119.5</v>
      </c>
      <c r="AA123">
        <v>127.6</v>
      </c>
      <c r="AB123">
        <v>117.6</v>
      </c>
      <c r="AC123">
        <v>118.2</v>
      </c>
      <c r="AD123">
        <v>125.3</v>
      </c>
    </row>
    <row r="124" spans="1:30" hidden="1" x14ac:dyDescent="0.3">
      <c r="A124" t="s">
        <v>34</v>
      </c>
      <c r="B124">
        <v>2016</v>
      </c>
      <c r="C124" t="s">
        <v>37</v>
      </c>
      <c r="D124">
        <v>126.6</v>
      </c>
      <c r="E124">
        <v>136.80000000000001</v>
      </c>
      <c r="F124">
        <v>122</v>
      </c>
      <c r="G124">
        <v>130.9</v>
      </c>
      <c r="H124">
        <v>114.8</v>
      </c>
      <c r="I124">
        <v>134.80000000000001</v>
      </c>
      <c r="J124">
        <v>135</v>
      </c>
      <c r="K124">
        <v>167.5</v>
      </c>
      <c r="L124">
        <v>106.4</v>
      </c>
      <c r="M124">
        <v>134.4</v>
      </c>
      <c r="N124">
        <v>123.6</v>
      </c>
      <c r="O124">
        <v>136.69999999999999</v>
      </c>
      <c r="P124">
        <v>131.80000000000001</v>
      </c>
      <c r="Q124">
        <v>137.1</v>
      </c>
      <c r="R124">
        <v>131.80000000000001</v>
      </c>
      <c r="S124">
        <v>126.4</v>
      </c>
      <c r="T124">
        <v>131</v>
      </c>
      <c r="U124">
        <v>125.6</v>
      </c>
      <c r="V124">
        <v>122.3</v>
      </c>
      <c r="W124">
        <v>125.5</v>
      </c>
      <c r="X124">
        <v>123.2</v>
      </c>
      <c r="Y124">
        <v>112.1</v>
      </c>
      <c r="Z124">
        <v>121.1</v>
      </c>
      <c r="AA124">
        <v>127.7</v>
      </c>
      <c r="AB124">
        <v>118.1</v>
      </c>
      <c r="AC124">
        <v>120</v>
      </c>
      <c r="AD124">
        <v>127.3</v>
      </c>
    </row>
    <row r="125" spans="1:30" hidden="1" x14ac:dyDescent="0.3">
      <c r="A125" t="s">
        <v>30</v>
      </c>
      <c r="B125">
        <v>2016</v>
      </c>
      <c r="C125" t="s">
        <v>38</v>
      </c>
      <c r="D125">
        <v>127.6</v>
      </c>
      <c r="E125">
        <v>137.5</v>
      </c>
      <c r="F125">
        <v>124.4</v>
      </c>
      <c r="G125">
        <v>132.4</v>
      </c>
      <c r="H125">
        <v>118.2</v>
      </c>
      <c r="I125">
        <v>138.1</v>
      </c>
      <c r="J125">
        <v>141.80000000000001</v>
      </c>
      <c r="K125">
        <v>166</v>
      </c>
      <c r="L125">
        <v>107.5</v>
      </c>
      <c r="M125">
        <v>132.19999999999999</v>
      </c>
      <c r="N125">
        <v>126.1</v>
      </c>
      <c r="O125">
        <v>138.30000000000001</v>
      </c>
      <c r="P125">
        <v>133.6</v>
      </c>
      <c r="Q125">
        <v>136</v>
      </c>
      <c r="R125">
        <v>135.4</v>
      </c>
      <c r="S125">
        <v>131.1</v>
      </c>
      <c r="T125">
        <v>134.80000000000001</v>
      </c>
      <c r="U125" t="s">
        <v>32</v>
      </c>
      <c r="V125">
        <v>127.4</v>
      </c>
      <c r="W125">
        <v>128.5</v>
      </c>
      <c r="X125">
        <v>125.8</v>
      </c>
      <c r="Y125">
        <v>115.1</v>
      </c>
      <c r="Z125">
        <v>123.6</v>
      </c>
      <c r="AA125">
        <v>129.1</v>
      </c>
      <c r="AB125">
        <v>119.7</v>
      </c>
      <c r="AC125">
        <v>122.5</v>
      </c>
      <c r="AD125">
        <v>130.30000000000001</v>
      </c>
    </row>
    <row r="126" spans="1:30" hidden="1" x14ac:dyDescent="0.3">
      <c r="A126" t="s">
        <v>33</v>
      </c>
      <c r="B126">
        <v>2016</v>
      </c>
      <c r="C126" t="s">
        <v>38</v>
      </c>
      <c r="D126">
        <v>125</v>
      </c>
      <c r="E126">
        <v>142.1</v>
      </c>
      <c r="F126">
        <v>127</v>
      </c>
      <c r="G126">
        <v>130.4</v>
      </c>
      <c r="H126">
        <v>109.6</v>
      </c>
      <c r="I126">
        <v>133.5</v>
      </c>
      <c r="J126">
        <v>151.4</v>
      </c>
      <c r="K126">
        <v>182.8</v>
      </c>
      <c r="L126">
        <v>111.1</v>
      </c>
      <c r="M126">
        <v>141.5</v>
      </c>
      <c r="N126">
        <v>121.5</v>
      </c>
      <c r="O126">
        <v>136.30000000000001</v>
      </c>
      <c r="P126">
        <v>134.6</v>
      </c>
      <c r="Q126">
        <v>142.19999999999999</v>
      </c>
      <c r="R126">
        <v>127.2</v>
      </c>
      <c r="S126">
        <v>120.7</v>
      </c>
      <c r="T126">
        <v>126.2</v>
      </c>
      <c r="U126">
        <v>126</v>
      </c>
      <c r="V126">
        <v>115</v>
      </c>
      <c r="W126">
        <v>123.2</v>
      </c>
      <c r="X126">
        <v>120.3</v>
      </c>
      <c r="Y126">
        <v>110.7</v>
      </c>
      <c r="Z126">
        <v>119.8</v>
      </c>
      <c r="AA126">
        <v>128</v>
      </c>
      <c r="AB126">
        <v>118.5</v>
      </c>
      <c r="AC126">
        <v>118.7</v>
      </c>
      <c r="AD126">
        <v>126.6</v>
      </c>
    </row>
    <row r="127" spans="1:30" hidden="1" x14ac:dyDescent="0.3">
      <c r="A127" t="s">
        <v>34</v>
      </c>
      <c r="B127">
        <v>2016</v>
      </c>
      <c r="C127" t="s">
        <v>38</v>
      </c>
      <c r="D127">
        <v>126.8</v>
      </c>
      <c r="E127">
        <v>139.1</v>
      </c>
      <c r="F127">
        <v>125.4</v>
      </c>
      <c r="G127">
        <v>131.69999999999999</v>
      </c>
      <c r="H127">
        <v>115</v>
      </c>
      <c r="I127">
        <v>136</v>
      </c>
      <c r="J127">
        <v>145.1</v>
      </c>
      <c r="K127">
        <v>171.7</v>
      </c>
      <c r="L127">
        <v>108.7</v>
      </c>
      <c r="M127">
        <v>135.30000000000001</v>
      </c>
      <c r="N127">
        <v>124.2</v>
      </c>
      <c r="O127">
        <v>137.4</v>
      </c>
      <c r="P127">
        <v>134</v>
      </c>
      <c r="Q127">
        <v>137.69999999999999</v>
      </c>
      <c r="R127">
        <v>132.19999999999999</v>
      </c>
      <c r="S127">
        <v>126.8</v>
      </c>
      <c r="T127">
        <v>131.4</v>
      </c>
      <c r="U127">
        <v>126</v>
      </c>
      <c r="V127">
        <v>122.7</v>
      </c>
      <c r="W127">
        <v>126</v>
      </c>
      <c r="X127">
        <v>123.7</v>
      </c>
      <c r="Y127">
        <v>112.8</v>
      </c>
      <c r="Z127">
        <v>121.5</v>
      </c>
      <c r="AA127">
        <v>128.5</v>
      </c>
      <c r="AB127">
        <v>119.2</v>
      </c>
      <c r="AC127">
        <v>120.7</v>
      </c>
      <c r="AD127">
        <v>128.6</v>
      </c>
    </row>
    <row r="128" spans="1:30" hidden="1" x14ac:dyDescent="0.3">
      <c r="A128" t="s">
        <v>30</v>
      </c>
      <c r="B128">
        <v>2016</v>
      </c>
      <c r="C128" t="s">
        <v>39</v>
      </c>
      <c r="D128">
        <v>128.6</v>
      </c>
      <c r="E128">
        <v>138.6</v>
      </c>
      <c r="F128">
        <v>126.6</v>
      </c>
      <c r="G128">
        <v>133.6</v>
      </c>
      <c r="H128">
        <v>118.6</v>
      </c>
      <c r="I128">
        <v>137.4</v>
      </c>
      <c r="J128">
        <v>152.5</v>
      </c>
      <c r="K128">
        <v>169.2</v>
      </c>
      <c r="L128">
        <v>108.8</v>
      </c>
      <c r="M128">
        <v>133.1</v>
      </c>
      <c r="N128">
        <v>126.4</v>
      </c>
      <c r="O128">
        <v>139.19999999999999</v>
      </c>
      <c r="P128">
        <v>136</v>
      </c>
      <c r="Q128">
        <v>137.19999999999999</v>
      </c>
      <c r="R128">
        <v>136.30000000000001</v>
      </c>
      <c r="S128">
        <v>131.6</v>
      </c>
      <c r="T128">
        <v>135.6</v>
      </c>
      <c r="U128" t="s">
        <v>32</v>
      </c>
      <c r="V128">
        <v>128</v>
      </c>
      <c r="W128">
        <v>129.30000000000001</v>
      </c>
      <c r="X128">
        <v>126.2</v>
      </c>
      <c r="Y128">
        <v>116.3</v>
      </c>
      <c r="Z128">
        <v>124.1</v>
      </c>
      <c r="AA128">
        <v>130.19999999999999</v>
      </c>
      <c r="AB128">
        <v>119.9</v>
      </c>
      <c r="AC128">
        <v>123.3</v>
      </c>
      <c r="AD128">
        <v>131.9</v>
      </c>
    </row>
    <row r="129" spans="1:30" hidden="1" x14ac:dyDescent="0.3">
      <c r="A129" t="s">
        <v>33</v>
      </c>
      <c r="B129">
        <v>2016</v>
      </c>
      <c r="C129" t="s">
        <v>39</v>
      </c>
      <c r="D129">
        <v>125.9</v>
      </c>
      <c r="E129">
        <v>143.9</v>
      </c>
      <c r="F129">
        <v>130.9</v>
      </c>
      <c r="G129">
        <v>131</v>
      </c>
      <c r="H129">
        <v>110.2</v>
      </c>
      <c r="I129">
        <v>135.5</v>
      </c>
      <c r="J129">
        <v>173.7</v>
      </c>
      <c r="K129">
        <v>184.4</v>
      </c>
      <c r="L129">
        <v>112</v>
      </c>
      <c r="M129">
        <v>142.80000000000001</v>
      </c>
      <c r="N129">
        <v>121.6</v>
      </c>
      <c r="O129">
        <v>136.9</v>
      </c>
      <c r="P129">
        <v>138.19999999999999</v>
      </c>
      <c r="Q129">
        <v>142.69999999999999</v>
      </c>
      <c r="R129">
        <v>127.6</v>
      </c>
      <c r="S129">
        <v>121.1</v>
      </c>
      <c r="T129">
        <v>126.6</v>
      </c>
      <c r="U129">
        <v>125.5</v>
      </c>
      <c r="V129">
        <v>115.5</v>
      </c>
      <c r="W129">
        <v>123.2</v>
      </c>
      <c r="X129">
        <v>120.6</v>
      </c>
      <c r="Y129">
        <v>112.3</v>
      </c>
      <c r="Z129">
        <v>119.9</v>
      </c>
      <c r="AA129">
        <v>129.30000000000001</v>
      </c>
      <c r="AB129">
        <v>118.8</v>
      </c>
      <c r="AC129">
        <v>119.6</v>
      </c>
      <c r="AD129">
        <v>128.1</v>
      </c>
    </row>
    <row r="130" spans="1:30" hidden="1" x14ac:dyDescent="0.3">
      <c r="A130" t="s">
        <v>34</v>
      </c>
      <c r="B130">
        <v>2016</v>
      </c>
      <c r="C130" t="s">
        <v>39</v>
      </c>
      <c r="D130">
        <v>127.7</v>
      </c>
      <c r="E130">
        <v>140.5</v>
      </c>
      <c r="F130">
        <v>128.30000000000001</v>
      </c>
      <c r="G130">
        <v>132.6</v>
      </c>
      <c r="H130">
        <v>115.5</v>
      </c>
      <c r="I130">
        <v>136.5</v>
      </c>
      <c r="J130">
        <v>159.69999999999999</v>
      </c>
      <c r="K130">
        <v>174.3</v>
      </c>
      <c r="L130">
        <v>109.9</v>
      </c>
      <c r="M130">
        <v>136.30000000000001</v>
      </c>
      <c r="N130">
        <v>124.4</v>
      </c>
      <c r="O130">
        <v>138.1</v>
      </c>
      <c r="P130">
        <v>136.80000000000001</v>
      </c>
      <c r="Q130">
        <v>138.69999999999999</v>
      </c>
      <c r="R130">
        <v>132.9</v>
      </c>
      <c r="S130">
        <v>127.2</v>
      </c>
      <c r="T130">
        <v>132</v>
      </c>
      <c r="U130">
        <v>125.5</v>
      </c>
      <c r="V130">
        <v>123.3</v>
      </c>
      <c r="W130">
        <v>126.4</v>
      </c>
      <c r="X130">
        <v>124.1</v>
      </c>
      <c r="Y130">
        <v>114.2</v>
      </c>
      <c r="Z130">
        <v>121.7</v>
      </c>
      <c r="AA130">
        <v>129.69999999999999</v>
      </c>
      <c r="AB130">
        <v>119.4</v>
      </c>
      <c r="AC130">
        <v>121.5</v>
      </c>
      <c r="AD130">
        <v>130.1</v>
      </c>
    </row>
    <row r="131" spans="1:30" hidden="1" x14ac:dyDescent="0.3">
      <c r="A131" t="s">
        <v>30</v>
      </c>
      <c r="B131">
        <v>2016</v>
      </c>
      <c r="C131" t="s">
        <v>40</v>
      </c>
      <c r="D131">
        <v>129.30000000000001</v>
      </c>
      <c r="E131">
        <v>139.5</v>
      </c>
      <c r="F131">
        <v>129.6</v>
      </c>
      <c r="G131">
        <v>134.5</v>
      </c>
      <c r="H131">
        <v>119.5</v>
      </c>
      <c r="I131">
        <v>138.5</v>
      </c>
      <c r="J131">
        <v>158.19999999999999</v>
      </c>
      <c r="K131">
        <v>171.8</v>
      </c>
      <c r="L131">
        <v>110.3</v>
      </c>
      <c r="M131">
        <v>134.30000000000001</v>
      </c>
      <c r="N131">
        <v>127.3</v>
      </c>
      <c r="O131">
        <v>139.9</v>
      </c>
      <c r="P131">
        <v>137.6</v>
      </c>
      <c r="Q131">
        <v>138</v>
      </c>
      <c r="R131">
        <v>137.19999999999999</v>
      </c>
      <c r="S131">
        <v>132.19999999999999</v>
      </c>
      <c r="T131">
        <v>136.5</v>
      </c>
      <c r="U131" t="s">
        <v>32</v>
      </c>
      <c r="V131">
        <v>128.19999999999999</v>
      </c>
      <c r="W131">
        <v>130</v>
      </c>
      <c r="X131">
        <v>126.7</v>
      </c>
      <c r="Y131">
        <v>116.4</v>
      </c>
      <c r="Z131">
        <v>125.2</v>
      </c>
      <c r="AA131">
        <v>130.80000000000001</v>
      </c>
      <c r="AB131">
        <v>120.9</v>
      </c>
      <c r="AC131">
        <v>123.8</v>
      </c>
      <c r="AD131">
        <v>133</v>
      </c>
    </row>
    <row r="132" spans="1:30" hidden="1" x14ac:dyDescent="0.3">
      <c r="A132" t="s">
        <v>33</v>
      </c>
      <c r="B132">
        <v>2016</v>
      </c>
      <c r="C132" t="s">
        <v>40</v>
      </c>
      <c r="D132">
        <v>126.8</v>
      </c>
      <c r="E132">
        <v>144.19999999999999</v>
      </c>
      <c r="F132">
        <v>136.6</v>
      </c>
      <c r="G132">
        <v>131.80000000000001</v>
      </c>
      <c r="H132">
        <v>111</v>
      </c>
      <c r="I132">
        <v>137</v>
      </c>
      <c r="J132">
        <v>179.5</v>
      </c>
      <c r="K132">
        <v>188.4</v>
      </c>
      <c r="L132">
        <v>113.3</v>
      </c>
      <c r="M132">
        <v>143.9</v>
      </c>
      <c r="N132">
        <v>121.7</v>
      </c>
      <c r="O132">
        <v>137.5</v>
      </c>
      <c r="P132">
        <v>139.80000000000001</v>
      </c>
      <c r="Q132">
        <v>142.9</v>
      </c>
      <c r="R132">
        <v>127.9</v>
      </c>
      <c r="S132">
        <v>121.1</v>
      </c>
      <c r="T132">
        <v>126.9</v>
      </c>
      <c r="U132">
        <v>126.4</v>
      </c>
      <c r="V132">
        <v>115.5</v>
      </c>
      <c r="W132">
        <v>123.5</v>
      </c>
      <c r="X132">
        <v>120.9</v>
      </c>
      <c r="Y132">
        <v>111.7</v>
      </c>
      <c r="Z132">
        <v>120.3</v>
      </c>
      <c r="AA132">
        <v>130.80000000000001</v>
      </c>
      <c r="AB132">
        <v>120</v>
      </c>
      <c r="AC132">
        <v>119.9</v>
      </c>
      <c r="AD132">
        <v>129</v>
      </c>
    </row>
    <row r="133" spans="1:30" hidden="1" x14ac:dyDescent="0.3">
      <c r="A133" t="s">
        <v>34</v>
      </c>
      <c r="B133">
        <v>2016</v>
      </c>
      <c r="C133" t="s">
        <v>40</v>
      </c>
      <c r="D133">
        <v>128.5</v>
      </c>
      <c r="E133">
        <v>141.19999999999999</v>
      </c>
      <c r="F133">
        <v>132.30000000000001</v>
      </c>
      <c r="G133">
        <v>133.5</v>
      </c>
      <c r="H133">
        <v>116.4</v>
      </c>
      <c r="I133">
        <v>137.80000000000001</v>
      </c>
      <c r="J133">
        <v>165.4</v>
      </c>
      <c r="K133">
        <v>177.4</v>
      </c>
      <c r="L133">
        <v>111.3</v>
      </c>
      <c r="M133">
        <v>137.5</v>
      </c>
      <c r="N133">
        <v>125</v>
      </c>
      <c r="O133">
        <v>138.80000000000001</v>
      </c>
      <c r="P133">
        <v>138.4</v>
      </c>
      <c r="Q133">
        <v>139.30000000000001</v>
      </c>
      <c r="R133">
        <v>133.5</v>
      </c>
      <c r="S133">
        <v>127.6</v>
      </c>
      <c r="T133">
        <v>132.69999999999999</v>
      </c>
      <c r="U133">
        <v>126.4</v>
      </c>
      <c r="V133">
        <v>123.4</v>
      </c>
      <c r="W133">
        <v>126.9</v>
      </c>
      <c r="X133">
        <v>124.5</v>
      </c>
      <c r="Y133">
        <v>113.9</v>
      </c>
      <c r="Z133">
        <v>122.4</v>
      </c>
      <c r="AA133">
        <v>130.80000000000001</v>
      </c>
      <c r="AB133">
        <v>120.5</v>
      </c>
      <c r="AC133">
        <v>121.9</v>
      </c>
      <c r="AD133">
        <v>131.1</v>
      </c>
    </row>
    <row r="134" spans="1:30" hidden="1" x14ac:dyDescent="0.3">
      <c r="A134" t="s">
        <v>30</v>
      </c>
      <c r="B134">
        <v>2016</v>
      </c>
      <c r="C134" t="s">
        <v>41</v>
      </c>
      <c r="D134">
        <v>130.1</v>
      </c>
      <c r="E134">
        <v>138.80000000000001</v>
      </c>
      <c r="F134">
        <v>130.30000000000001</v>
      </c>
      <c r="G134">
        <v>135.30000000000001</v>
      </c>
      <c r="H134">
        <v>119.9</v>
      </c>
      <c r="I134">
        <v>140.19999999999999</v>
      </c>
      <c r="J134">
        <v>156.9</v>
      </c>
      <c r="K134">
        <v>172.2</v>
      </c>
      <c r="L134">
        <v>112.1</v>
      </c>
      <c r="M134">
        <v>134.9</v>
      </c>
      <c r="N134">
        <v>128.1</v>
      </c>
      <c r="O134">
        <v>140.69999999999999</v>
      </c>
      <c r="P134">
        <v>138</v>
      </c>
      <c r="Q134">
        <v>138.9</v>
      </c>
      <c r="R134">
        <v>137.80000000000001</v>
      </c>
      <c r="S134">
        <v>133</v>
      </c>
      <c r="T134">
        <v>137.1</v>
      </c>
      <c r="U134" t="s">
        <v>32</v>
      </c>
      <c r="V134">
        <v>129.1</v>
      </c>
      <c r="W134">
        <v>130.6</v>
      </c>
      <c r="X134">
        <v>127</v>
      </c>
      <c r="Y134">
        <v>116</v>
      </c>
      <c r="Z134">
        <v>125.5</v>
      </c>
      <c r="AA134">
        <v>131.9</v>
      </c>
      <c r="AB134">
        <v>122</v>
      </c>
      <c r="AC134">
        <v>124.2</v>
      </c>
      <c r="AD134">
        <v>133.5</v>
      </c>
    </row>
    <row r="135" spans="1:30" hidden="1" x14ac:dyDescent="0.3">
      <c r="A135" t="s">
        <v>33</v>
      </c>
      <c r="B135">
        <v>2016</v>
      </c>
      <c r="C135" t="s">
        <v>41</v>
      </c>
      <c r="D135">
        <v>127.6</v>
      </c>
      <c r="E135">
        <v>140.30000000000001</v>
      </c>
      <c r="F135">
        <v>133.69999999999999</v>
      </c>
      <c r="G135">
        <v>132.19999999999999</v>
      </c>
      <c r="H135">
        <v>111.8</v>
      </c>
      <c r="I135">
        <v>135.80000000000001</v>
      </c>
      <c r="J135">
        <v>163.5</v>
      </c>
      <c r="K135">
        <v>182.3</v>
      </c>
      <c r="L135">
        <v>114.6</v>
      </c>
      <c r="M135">
        <v>144.6</v>
      </c>
      <c r="N135">
        <v>121.9</v>
      </c>
      <c r="O135">
        <v>138.1</v>
      </c>
      <c r="P135">
        <v>137.6</v>
      </c>
      <c r="Q135">
        <v>143.6</v>
      </c>
      <c r="R135">
        <v>128.30000000000001</v>
      </c>
      <c r="S135">
        <v>121.4</v>
      </c>
      <c r="T135">
        <v>127.3</v>
      </c>
      <c r="U135">
        <v>127.3</v>
      </c>
      <c r="V135">
        <v>114.7</v>
      </c>
      <c r="W135">
        <v>123.9</v>
      </c>
      <c r="X135">
        <v>121.2</v>
      </c>
      <c r="Y135">
        <v>110.4</v>
      </c>
      <c r="Z135">
        <v>120.6</v>
      </c>
      <c r="AA135">
        <v>131.5</v>
      </c>
      <c r="AB135">
        <v>120.9</v>
      </c>
      <c r="AC135">
        <v>119.9</v>
      </c>
      <c r="AD135">
        <v>128.4</v>
      </c>
    </row>
    <row r="136" spans="1:30" hidden="1" x14ac:dyDescent="0.3">
      <c r="A136" t="s">
        <v>34</v>
      </c>
      <c r="B136">
        <v>2016</v>
      </c>
      <c r="C136" t="s">
        <v>41</v>
      </c>
      <c r="D136">
        <v>129.30000000000001</v>
      </c>
      <c r="E136">
        <v>139.30000000000001</v>
      </c>
      <c r="F136">
        <v>131.6</v>
      </c>
      <c r="G136">
        <v>134.1</v>
      </c>
      <c r="H136">
        <v>116.9</v>
      </c>
      <c r="I136">
        <v>138.1</v>
      </c>
      <c r="J136">
        <v>159.1</v>
      </c>
      <c r="K136">
        <v>175.6</v>
      </c>
      <c r="L136">
        <v>112.9</v>
      </c>
      <c r="M136">
        <v>138.1</v>
      </c>
      <c r="N136">
        <v>125.5</v>
      </c>
      <c r="O136">
        <v>139.5</v>
      </c>
      <c r="P136">
        <v>137.9</v>
      </c>
      <c r="Q136">
        <v>140.19999999999999</v>
      </c>
      <c r="R136">
        <v>134.1</v>
      </c>
      <c r="S136">
        <v>128.19999999999999</v>
      </c>
      <c r="T136">
        <v>133.19999999999999</v>
      </c>
      <c r="U136">
        <v>127.3</v>
      </c>
      <c r="V136">
        <v>123.6</v>
      </c>
      <c r="W136">
        <v>127.4</v>
      </c>
      <c r="X136">
        <v>124.8</v>
      </c>
      <c r="Y136">
        <v>113.1</v>
      </c>
      <c r="Z136">
        <v>122.7</v>
      </c>
      <c r="AA136">
        <v>131.69999999999999</v>
      </c>
      <c r="AB136">
        <v>121.5</v>
      </c>
      <c r="AC136">
        <v>122.1</v>
      </c>
      <c r="AD136">
        <v>131.1</v>
      </c>
    </row>
    <row r="137" spans="1:30" hidden="1" x14ac:dyDescent="0.3">
      <c r="A137" t="s">
        <v>30</v>
      </c>
      <c r="B137">
        <v>2016</v>
      </c>
      <c r="C137" t="s">
        <v>42</v>
      </c>
      <c r="D137">
        <v>130.80000000000001</v>
      </c>
      <c r="E137">
        <v>138.19999999999999</v>
      </c>
      <c r="F137">
        <v>130.5</v>
      </c>
      <c r="G137">
        <v>135.5</v>
      </c>
      <c r="H137">
        <v>120.2</v>
      </c>
      <c r="I137">
        <v>139.19999999999999</v>
      </c>
      <c r="J137">
        <v>149.5</v>
      </c>
      <c r="K137">
        <v>170.4</v>
      </c>
      <c r="L137">
        <v>113.1</v>
      </c>
      <c r="M137">
        <v>135.80000000000001</v>
      </c>
      <c r="N137">
        <v>128.80000000000001</v>
      </c>
      <c r="O137">
        <v>141.5</v>
      </c>
      <c r="P137">
        <v>137.19999999999999</v>
      </c>
      <c r="Q137">
        <v>139.9</v>
      </c>
      <c r="R137">
        <v>138.5</v>
      </c>
      <c r="S137">
        <v>133.5</v>
      </c>
      <c r="T137">
        <v>137.80000000000001</v>
      </c>
      <c r="U137" t="s">
        <v>32</v>
      </c>
      <c r="V137">
        <v>129.69999999999999</v>
      </c>
      <c r="W137">
        <v>131.1</v>
      </c>
      <c r="X137">
        <v>127.8</v>
      </c>
      <c r="Y137">
        <v>117</v>
      </c>
      <c r="Z137">
        <v>125.7</v>
      </c>
      <c r="AA137">
        <v>132.19999999999999</v>
      </c>
      <c r="AB137">
        <v>122.8</v>
      </c>
      <c r="AC137">
        <v>124.9</v>
      </c>
      <c r="AD137">
        <v>133.4</v>
      </c>
    </row>
    <row r="138" spans="1:30" hidden="1" x14ac:dyDescent="0.3">
      <c r="A138" t="s">
        <v>33</v>
      </c>
      <c r="B138">
        <v>2016</v>
      </c>
      <c r="C138" t="s">
        <v>42</v>
      </c>
      <c r="D138">
        <v>128.1</v>
      </c>
      <c r="E138">
        <v>137.69999999999999</v>
      </c>
      <c r="F138">
        <v>130.6</v>
      </c>
      <c r="G138">
        <v>132.6</v>
      </c>
      <c r="H138">
        <v>111.9</v>
      </c>
      <c r="I138">
        <v>132.5</v>
      </c>
      <c r="J138">
        <v>152.9</v>
      </c>
      <c r="K138">
        <v>173.6</v>
      </c>
      <c r="L138">
        <v>115.1</v>
      </c>
      <c r="M138">
        <v>144.80000000000001</v>
      </c>
      <c r="N138">
        <v>122.1</v>
      </c>
      <c r="O138">
        <v>138.80000000000001</v>
      </c>
      <c r="P138">
        <v>135.69999999999999</v>
      </c>
      <c r="Q138">
        <v>143.9</v>
      </c>
      <c r="R138">
        <v>128.69999999999999</v>
      </c>
      <c r="S138">
        <v>121.6</v>
      </c>
      <c r="T138">
        <v>127.7</v>
      </c>
      <c r="U138">
        <v>127.9</v>
      </c>
      <c r="V138">
        <v>114.8</v>
      </c>
      <c r="W138">
        <v>124.3</v>
      </c>
      <c r="X138">
        <v>121.4</v>
      </c>
      <c r="Y138">
        <v>111.8</v>
      </c>
      <c r="Z138">
        <v>120.8</v>
      </c>
      <c r="AA138">
        <v>131.6</v>
      </c>
      <c r="AB138">
        <v>121.2</v>
      </c>
      <c r="AC138">
        <v>120.5</v>
      </c>
      <c r="AD138">
        <v>128</v>
      </c>
    </row>
    <row r="139" spans="1:30" hidden="1" x14ac:dyDescent="0.3">
      <c r="A139" t="s">
        <v>34</v>
      </c>
      <c r="B139">
        <v>2016</v>
      </c>
      <c r="C139" t="s">
        <v>42</v>
      </c>
      <c r="D139">
        <v>129.9</v>
      </c>
      <c r="E139">
        <v>138</v>
      </c>
      <c r="F139">
        <v>130.5</v>
      </c>
      <c r="G139">
        <v>134.4</v>
      </c>
      <c r="H139">
        <v>117.2</v>
      </c>
      <c r="I139">
        <v>136.1</v>
      </c>
      <c r="J139">
        <v>150.69999999999999</v>
      </c>
      <c r="K139">
        <v>171.5</v>
      </c>
      <c r="L139">
        <v>113.8</v>
      </c>
      <c r="M139">
        <v>138.80000000000001</v>
      </c>
      <c r="N139">
        <v>126</v>
      </c>
      <c r="O139">
        <v>140.19999999999999</v>
      </c>
      <c r="P139">
        <v>136.6</v>
      </c>
      <c r="Q139">
        <v>141</v>
      </c>
      <c r="R139">
        <v>134.6</v>
      </c>
      <c r="S139">
        <v>128.6</v>
      </c>
      <c r="T139">
        <v>133.80000000000001</v>
      </c>
      <c r="U139">
        <v>127.9</v>
      </c>
      <c r="V139">
        <v>124.1</v>
      </c>
      <c r="W139">
        <v>127.9</v>
      </c>
      <c r="X139">
        <v>125.4</v>
      </c>
      <c r="Y139">
        <v>114.3</v>
      </c>
      <c r="Z139">
        <v>122.9</v>
      </c>
      <c r="AA139">
        <v>131.80000000000001</v>
      </c>
      <c r="AB139">
        <v>122.1</v>
      </c>
      <c r="AC139">
        <v>122.8</v>
      </c>
      <c r="AD139">
        <v>130.9</v>
      </c>
    </row>
    <row r="140" spans="1:30" hidden="1" x14ac:dyDescent="0.3">
      <c r="A140" t="s">
        <v>30</v>
      </c>
      <c r="B140">
        <v>2016</v>
      </c>
      <c r="C140" t="s">
        <v>43</v>
      </c>
      <c r="D140">
        <v>131.30000000000001</v>
      </c>
      <c r="E140">
        <v>137.6</v>
      </c>
      <c r="F140">
        <v>130.1</v>
      </c>
      <c r="G140">
        <v>136</v>
      </c>
      <c r="H140">
        <v>120.8</v>
      </c>
      <c r="I140">
        <v>138.4</v>
      </c>
      <c r="J140">
        <v>149.19999999999999</v>
      </c>
      <c r="K140">
        <v>170.2</v>
      </c>
      <c r="L140">
        <v>113.4</v>
      </c>
      <c r="M140">
        <v>136.30000000000001</v>
      </c>
      <c r="N140">
        <v>128.69999999999999</v>
      </c>
      <c r="O140">
        <v>142.4</v>
      </c>
      <c r="P140">
        <v>137.4</v>
      </c>
      <c r="Q140">
        <v>140.9</v>
      </c>
      <c r="R140">
        <v>139.6</v>
      </c>
      <c r="S140">
        <v>134.30000000000001</v>
      </c>
      <c r="T140">
        <v>138.80000000000001</v>
      </c>
      <c r="U140" t="s">
        <v>32</v>
      </c>
      <c r="V140">
        <v>129.80000000000001</v>
      </c>
      <c r="W140">
        <v>131.80000000000001</v>
      </c>
      <c r="X140">
        <v>128.69999999999999</v>
      </c>
      <c r="Y140">
        <v>117.8</v>
      </c>
      <c r="Z140">
        <v>126.5</v>
      </c>
      <c r="AA140">
        <v>133</v>
      </c>
      <c r="AB140">
        <v>123</v>
      </c>
      <c r="AC140">
        <v>125.7</v>
      </c>
      <c r="AD140">
        <v>133.80000000000001</v>
      </c>
    </row>
    <row r="141" spans="1:30" hidden="1" x14ac:dyDescent="0.3">
      <c r="A141" t="s">
        <v>33</v>
      </c>
      <c r="B141">
        <v>2016</v>
      </c>
      <c r="C141" t="s">
        <v>43</v>
      </c>
      <c r="D141">
        <v>128.69999999999999</v>
      </c>
      <c r="E141">
        <v>138.4</v>
      </c>
      <c r="F141">
        <v>130.30000000000001</v>
      </c>
      <c r="G141">
        <v>132.69999999999999</v>
      </c>
      <c r="H141">
        <v>112.5</v>
      </c>
      <c r="I141">
        <v>130.4</v>
      </c>
      <c r="J141">
        <v>155.1</v>
      </c>
      <c r="K141">
        <v>175.7</v>
      </c>
      <c r="L141">
        <v>115.4</v>
      </c>
      <c r="M141">
        <v>145.30000000000001</v>
      </c>
      <c r="N141">
        <v>122.5</v>
      </c>
      <c r="O141">
        <v>139.6</v>
      </c>
      <c r="P141">
        <v>136.30000000000001</v>
      </c>
      <c r="Q141">
        <v>144.30000000000001</v>
      </c>
      <c r="R141">
        <v>129.1</v>
      </c>
      <c r="S141">
        <v>121.9</v>
      </c>
      <c r="T141">
        <v>128</v>
      </c>
      <c r="U141">
        <v>128.69999999999999</v>
      </c>
      <c r="V141">
        <v>115.2</v>
      </c>
      <c r="W141">
        <v>124.5</v>
      </c>
      <c r="X141">
        <v>121.8</v>
      </c>
      <c r="Y141">
        <v>112.8</v>
      </c>
      <c r="Z141">
        <v>121.2</v>
      </c>
      <c r="AA141">
        <v>131.9</v>
      </c>
      <c r="AB141">
        <v>120.8</v>
      </c>
      <c r="AC141">
        <v>120.9</v>
      </c>
      <c r="AD141">
        <v>128.6</v>
      </c>
    </row>
    <row r="142" spans="1:30" hidden="1" x14ac:dyDescent="0.3">
      <c r="A142" t="s">
        <v>34</v>
      </c>
      <c r="B142">
        <v>2016</v>
      </c>
      <c r="C142" t="s">
        <v>43</v>
      </c>
      <c r="D142">
        <v>130.5</v>
      </c>
      <c r="E142">
        <v>137.9</v>
      </c>
      <c r="F142">
        <v>130.19999999999999</v>
      </c>
      <c r="G142">
        <v>134.80000000000001</v>
      </c>
      <c r="H142">
        <v>117.8</v>
      </c>
      <c r="I142">
        <v>134.69999999999999</v>
      </c>
      <c r="J142">
        <v>151.19999999999999</v>
      </c>
      <c r="K142">
        <v>172.1</v>
      </c>
      <c r="L142">
        <v>114.1</v>
      </c>
      <c r="M142">
        <v>139.30000000000001</v>
      </c>
      <c r="N142">
        <v>126.1</v>
      </c>
      <c r="O142">
        <v>141.1</v>
      </c>
      <c r="P142">
        <v>137</v>
      </c>
      <c r="Q142">
        <v>141.80000000000001</v>
      </c>
      <c r="R142">
        <v>135.5</v>
      </c>
      <c r="S142">
        <v>129.1</v>
      </c>
      <c r="T142">
        <v>134.5</v>
      </c>
      <c r="U142">
        <v>128.69999999999999</v>
      </c>
      <c r="V142">
        <v>124.3</v>
      </c>
      <c r="W142">
        <v>128.4</v>
      </c>
      <c r="X142">
        <v>126.1</v>
      </c>
      <c r="Y142">
        <v>115.2</v>
      </c>
      <c r="Z142">
        <v>123.5</v>
      </c>
      <c r="AA142">
        <v>132.4</v>
      </c>
      <c r="AB142">
        <v>122.1</v>
      </c>
      <c r="AC142">
        <v>123.4</v>
      </c>
      <c r="AD142">
        <v>131.4</v>
      </c>
    </row>
    <row r="143" spans="1:30" hidden="1" x14ac:dyDescent="0.3">
      <c r="A143" t="s">
        <v>30</v>
      </c>
      <c r="B143">
        <v>2016</v>
      </c>
      <c r="C143" t="s">
        <v>45</v>
      </c>
      <c r="D143">
        <v>132</v>
      </c>
      <c r="E143">
        <v>137.4</v>
      </c>
      <c r="F143">
        <v>130.6</v>
      </c>
      <c r="G143">
        <v>136.19999999999999</v>
      </c>
      <c r="H143">
        <v>121.1</v>
      </c>
      <c r="I143">
        <v>136.9</v>
      </c>
      <c r="J143">
        <v>141.80000000000001</v>
      </c>
      <c r="K143">
        <v>170</v>
      </c>
      <c r="L143">
        <v>113.4</v>
      </c>
      <c r="M143">
        <v>136.80000000000001</v>
      </c>
      <c r="N143">
        <v>128.69999999999999</v>
      </c>
      <c r="O143">
        <v>143.1</v>
      </c>
      <c r="P143">
        <v>136.6</v>
      </c>
      <c r="Q143">
        <v>141.19999999999999</v>
      </c>
      <c r="R143">
        <v>139.9</v>
      </c>
      <c r="S143">
        <v>134.5</v>
      </c>
      <c r="T143">
        <v>139.19999999999999</v>
      </c>
      <c r="U143" t="s">
        <v>32</v>
      </c>
      <c r="V143">
        <v>130.30000000000001</v>
      </c>
      <c r="W143">
        <v>132.1</v>
      </c>
      <c r="X143">
        <v>129.1</v>
      </c>
      <c r="Y143">
        <v>118.2</v>
      </c>
      <c r="Z143">
        <v>126.9</v>
      </c>
      <c r="AA143">
        <v>133.69999999999999</v>
      </c>
      <c r="AB143">
        <v>123.5</v>
      </c>
      <c r="AC143">
        <v>126.1</v>
      </c>
      <c r="AD143">
        <v>133.6</v>
      </c>
    </row>
    <row r="144" spans="1:30" hidden="1" x14ac:dyDescent="0.3">
      <c r="A144" t="s">
        <v>33</v>
      </c>
      <c r="B144">
        <v>2016</v>
      </c>
      <c r="C144" t="s">
        <v>45</v>
      </c>
      <c r="D144">
        <v>130.19999999999999</v>
      </c>
      <c r="E144">
        <v>138.5</v>
      </c>
      <c r="F144">
        <v>134.1</v>
      </c>
      <c r="G144">
        <v>132.9</v>
      </c>
      <c r="H144">
        <v>112.6</v>
      </c>
      <c r="I144">
        <v>130.80000000000001</v>
      </c>
      <c r="J144">
        <v>142</v>
      </c>
      <c r="K144">
        <v>174.9</v>
      </c>
      <c r="L144">
        <v>115.6</v>
      </c>
      <c r="M144">
        <v>145.4</v>
      </c>
      <c r="N144">
        <v>122.7</v>
      </c>
      <c r="O144">
        <v>140.30000000000001</v>
      </c>
      <c r="P144">
        <v>135.19999999999999</v>
      </c>
      <c r="Q144">
        <v>144.30000000000001</v>
      </c>
      <c r="R144">
        <v>129.6</v>
      </c>
      <c r="S144">
        <v>122.1</v>
      </c>
      <c r="T144">
        <v>128.5</v>
      </c>
      <c r="U144">
        <v>129.1</v>
      </c>
      <c r="V144">
        <v>116.2</v>
      </c>
      <c r="W144">
        <v>124.7</v>
      </c>
      <c r="X144">
        <v>122.1</v>
      </c>
      <c r="Y144">
        <v>113.4</v>
      </c>
      <c r="Z144">
        <v>121.7</v>
      </c>
      <c r="AA144">
        <v>132.1</v>
      </c>
      <c r="AB144">
        <v>121.3</v>
      </c>
      <c r="AC144">
        <v>121.3</v>
      </c>
      <c r="AD144">
        <v>128.5</v>
      </c>
    </row>
    <row r="145" spans="1:30" hidden="1" x14ac:dyDescent="0.3">
      <c r="A145" t="s">
        <v>34</v>
      </c>
      <c r="B145">
        <v>2016</v>
      </c>
      <c r="C145" t="s">
        <v>45</v>
      </c>
      <c r="D145">
        <v>131.4</v>
      </c>
      <c r="E145">
        <v>137.80000000000001</v>
      </c>
      <c r="F145">
        <v>132</v>
      </c>
      <c r="G145">
        <v>135</v>
      </c>
      <c r="H145">
        <v>118</v>
      </c>
      <c r="I145">
        <v>134.1</v>
      </c>
      <c r="J145">
        <v>141.9</v>
      </c>
      <c r="K145">
        <v>171.7</v>
      </c>
      <c r="L145">
        <v>114.1</v>
      </c>
      <c r="M145">
        <v>139.69999999999999</v>
      </c>
      <c r="N145">
        <v>126.2</v>
      </c>
      <c r="O145">
        <v>141.80000000000001</v>
      </c>
      <c r="P145">
        <v>136.1</v>
      </c>
      <c r="Q145">
        <v>142</v>
      </c>
      <c r="R145">
        <v>135.80000000000001</v>
      </c>
      <c r="S145">
        <v>129.30000000000001</v>
      </c>
      <c r="T145">
        <v>135</v>
      </c>
      <c r="U145">
        <v>129.1</v>
      </c>
      <c r="V145">
        <v>125</v>
      </c>
      <c r="W145">
        <v>128.6</v>
      </c>
      <c r="X145">
        <v>126.4</v>
      </c>
      <c r="Y145">
        <v>115.7</v>
      </c>
      <c r="Z145">
        <v>124</v>
      </c>
      <c r="AA145">
        <v>132.80000000000001</v>
      </c>
      <c r="AB145">
        <v>122.6</v>
      </c>
      <c r="AC145">
        <v>123.8</v>
      </c>
      <c r="AD145">
        <v>131.19999999999999</v>
      </c>
    </row>
    <row r="146" spans="1:30" hidden="1" x14ac:dyDescent="0.3">
      <c r="A146" t="s">
        <v>30</v>
      </c>
      <c r="B146">
        <v>2016</v>
      </c>
      <c r="C146" t="s">
        <v>46</v>
      </c>
      <c r="D146">
        <v>132.6</v>
      </c>
      <c r="E146">
        <v>137.30000000000001</v>
      </c>
      <c r="F146">
        <v>131.6</v>
      </c>
      <c r="G146">
        <v>136.30000000000001</v>
      </c>
      <c r="H146">
        <v>121.6</v>
      </c>
      <c r="I146">
        <v>135.6</v>
      </c>
      <c r="J146">
        <v>127.5</v>
      </c>
      <c r="K146">
        <v>167.9</v>
      </c>
      <c r="L146">
        <v>113.8</v>
      </c>
      <c r="M146">
        <v>137.5</v>
      </c>
      <c r="N146">
        <v>129.1</v>
      </c>
      <c r="O146">
        <v>143.6</v>
      </c>
      <c r="P146">
        <v>134.69999999999999</v>
      </c>
      <c r="Q146">
        <v>142.4</v>
      </c>
      <c r="R146">
        <v>140.4</v>
      </c>
      <c r="S146">
        <v>135.19999999999999</v>
      </c>
      <c r="T146">
        <v>139.69999999999999</v>
      </c>
      <c r="U146" t="s">
        <v>32</v>
      </c>
      <c r="V146">
        <v>132</v>
      </c>
      <c r="W146">
        <v>132.9</v>
      </c>
      <c r="X146">
        <v>129.69999999999999</v>
      </c>
      <c r="Y146">
        <v>118.6</v>
      </c>
      <c r="Z146">
        <v>127.3</v>
      </c>
      <c r="AA146">
        <v>134.19999999999999</v>
      </c>
      <c r="AB146">
        <v>121.9</v>
      </c>
      <c r="AC146">
        <v>126.3</v>
      </c>
      <c r="AD146">
        <v>132.80000000000001</v>
      </c>
    </row>
    <row r="147" spans="1:30" hidden="1" x14ac:dyDescent="0.3">
      <c r="A147" t="s">
        <v>33</v>
      </c>
      <c r="B147">
        <v>2016</v>
      </c>
      <c r="C147" t="s">
        <v>46</v>
      </c>
      <c r="D147">
        <v>131.6</v>
      </c>
      <c r="E147">
        <v>138.19999999999999</v>
      </c>
      <c r="F147">
        <v>134.9</v>
      </c>
      <c r="G147">
        <v>133.1</v>
      </c>
      <c r="H147">
        <v>113.5</v>
      </c>
      <c r="I147">
        <v>129.30000000000001</v>
      </c>
      <c r="J147">
        <v>121.1</v>
      </c>
      <c r="K147">
        <v>170.3</v>
      </c>
      <c r="L147">
        <v>115.5</v>
      </c>
      <c r="M147">
        <v>145.5</v>
      </c>
      <c r="N147">
        <v>123.1</v>
      </c>
      <c r="O147">
        <v>140.9</v>
      </c>
      <c r="P147">
        <v>132.80000000000001</v>
      </c>
      <c r="Q147">
        <v>145</v>
      </c>
      <c r="R147">
        <v>130</v>
      </c>
      <c r="S147">
        <v>122.2</v>
      </c>
      <c r="T147">
        <v>128.80000000000001</v>
      </c>
      <c r="U147">
        <v>128.5</v>
      </c>
      <c r="V147">
        <v>117.8</v>
      </c>
      <c r="W147">
        <v>125</v>
      </c>
      <c r="X147">
        <v>122.3</v>
      </c>
      <c r="Y147">
        <v>113.7</v>
      </c>
      <c r="Z147">
        <v>121.8</v>
      </c>
      <c r="AA147">
        <v>132.30000000000001</v>
      </c>
      <c r="AB147">
        <v>119.9</v>
      </c>
      <c r="AC147">
        <v>121.4</v>
      </c>
      <c r="AD147">
        <v>127.6</v>
      </c>
    </row>
    <row r="148" spans="1:30" hidden="1" x14ac:dyDescent="0.3">
      <c r="A148" t="s">
        <v>34</v>
      </c>
      <c r="B148">
        <v>2016</v>
      </c>
      <c r="C148" t="s">
        <v>46</v>
      </c>
      <c r="D148">
        <v>132.30000000000001</v>
      </c>
      <c r="E148">
        <v>137.6</v>
      </c>
      <c r="F148">
        <v>132.9</v>
      </c>
      <c r="G148">
        <v>135.1</v>
      </c>
      <c r="H148">
        <v>118.6</v>
      </c>
      <c r="I148">
        <v>132.69999999999999</v>
      </c>
      <c r="J148">
        <v>125.3</v>
      </c>
      <c r="K148">
        <v>168.7</v>
      </c>
      <c r="L148">
        <v>114.4</v>
      </c>
      <c r="M148">
        <v>140.19999999999999</v>
      </c>
      <c r="N148">
        <v>126.6</v>
      </c>
      <c r="O148">
        <v>142.30000000000001</v>
      </c>
      <c r="P148">
        <v>134</v>
      </c>
      <c r="Q148">
        <v>143.1</v>
      </c>
      <c r="R148">
        <v>136.30000000000001</v>
      </c>
      <c r="S148">
        <v>129.80000000000001</v>
      </c>
      <c r="T148">
        <v>135.4</v>
      </c>
      <c r="U148">
        <v>128.5</v>
      </c>
      <c r="V148">
        <v>126.6</v>
      </c>
      <c r="W148">
        <v>129.19999999999999</v>
      </c>
      <c r="X148">
        <v>126.9</v>
      </c>
      <c r="Y148">
        <v>116</v>
      </c>
      <c r="Z148">
        <v>124.2</v>
      </c>
      <c r="AA148">
        <v>133.1</v>
      </c>
      <c r="AB148">
        <v>121.1</v>
      </c>
      <c r="AC148">
        <v>123.9</v>
      </c>
      <c r="AD148">
        <v>130.4</v>
      </c>
    </row>
    <row r="149" spans="1:30" hidden="1" x14ac:dyDescent="0.3">
      <c r="A149" t="s">
        <v>30</v>
      </c>
      <c r="B149">
        <v>2017</v>
      </c>
      <c r="C149" t="s">
        <v>31</v>
      </c>
      <c r="D149">
        <v>133.1</v>
      </c>
      <c r="E149">
        <v>137.80000000000001</v>
      </c>
      <c r="F149">
        <v>131.9</v>
      </c>
      <c r="G149">
        <v>136.69999999999999</v>
      </c>
      <c r="H149">
        <v>122</v>
      </c>
      <c r="I149">
        <v>136</v>
      </c>
      <c r="J149">
        <v>119.8</v>
      </c>
      <c r="K149">
        <v>161.69999999999999</v>
      </c>
      <c r="L149">
        <v>114.8</v>
      </c>
      <c r="M149">
        <v>136.9</v>
      </c>
      <c r="N149">
        <v>129</v>
      </c>
      <c r="O149">
        <v>143.9</v>
      </c>
      <c r="P149">
        <v>133.69999999999999</v>
      </c>
      <c r="Q149">
        <v>143.1</v>
      </c>
      <c r="R149">
        <v>140.69999999999999</v>
      </c>
      <c r="S149">
        <v>135.80000000000001</v>
      </c>
      <c r="T149">
        <v>140</v>
      </c>
      <c r="U149" t="s">
        <v>32</v>
      </c>
      <c r="V149">
        <v>132.1</v>
      </c>
      <c r="W149">
        <v>133.19999999999999</v>
      </c>
      <c r="X149">
        <v>129.9</v>
      </c>
      <c r="Y149">
        <v>119.1</v>
      </c>
      <c r="Z149">
        <v>127</v>
      </c>
      <c r="AA149">
        <v>134.6</v>
      </c>
      <c r="AB149">
        <v>122.3</v>
      </c>
      <c r="AC149">
        <v>126.6</v>
      </c>
      <c r="AD149">
        <v>132.4</v>
      </c>
    </row>
    <row r="150" spans="1:30" hidden="1" x14ac:dyDescent="0.3">
      <c r="A150" t="s">
        <v>33</v>
      </c>
      <c r="B150">
        <v>2017</v>
      </c>
      <c r="C150" t="s">
        <v>31</v>
      </c>
      <c r="D150">
        <v>132.19999999999999</v>
      </c>
      <c r="E150">
        <v>138.9</v>
      </c>
      <c r="F150">
        <v>132.6</v>
      </c>
      <c r="G150">
        <v>133.1</v>
      </c>
      <c r="H150">
        <v>114</v>
      </c>
      <c r="I150">
        <v>129.6</v>
      </c>
      <c r="J150">
        <v>118.7</v>
      </c>
      <c r="K150">
        <v>155.1</v>
      </c>
      <c r="L150">
        <v>117.3</v>
      </c>
      <c r="M150">
        <v>144.9</v>
      </c>
      <c r="N150">
        <v>123.2</v>
      </c>
      <c r="O150">
        <v>141.6</v>
      </c>
      <c r="P150">
        <v>132</v>
      </c>
      <c r="Q150">
        <v>145.6</v>
      </c>
      <c r="R150">
        <v>130.19999999999999</v>
      </c>
      <c r="S150">
        <v>122.3</v>
      </c>
      <c r="T150">
        <v>129</v>
      </c>
      <c r="U150">
        <v>129.6</v>
      </c>
      <c r="V150">
        <v>118</v>
      </c>
      <c r="W150">
        <v>125.1</v>
      </c>
      <c r="X150">
        <v>122.6</v>
      </c>
      <c r="Y150">
        <v>115.2</v>
      </c>
      <c r="Z150">
        <v>122</v>
      </c>
      <c r="AA150">
        <v>132.4</v>
      </c>
      <c r="AB150">
        <v>120.9</v>
      </c>
      <c r="AC150">
        <v>122.1</v>
      </c>
      <c r="AD150">
        <v>127.8</v>
      </c>
    </row>
    <row r="151" spans="1:30" hidden="1" x14ac:dyDescent="0.3">
      <c r="A151" t="s">
        <v>34</v>
      </c>
      <c r="B151">
        <v>2017</v>
      </c>
      <c r="C151" t="s">
        <v>31</v>
      </c>
      <c r="D151">
        <v>132.80000000000001</v>
      </c>
      <c r="E151">
        <v>138.19999999999999</v>
      </c>
      <c r="F151">
        <v>132.19999999999999</v>
      </c>
      <c r="G151">
        <v>135.4</v>
      </c>
      <c r="H151">
        <v>119.1</v>
      </c>
      <c r="I151">
        <v>133</v>
      </c>
      <c r="J151">
        <v>119.4</v>
      </c>
      <c r="K151">
        <v>159.5</v>
      </c>
      <c r="L151">
        <v>115.6</v>
      </c>
      <c r="M151">
        <v>139.6</v>
      </c>
      <c r="N151">
        <v>126.6</v>
      </c>
      <c r="O151">
        <v>142.80000000000001</v>
      </c>
      <c r="P151">
        <v>133.1</v>
      </c>
      <c r="Q151">
        <v>143.80000000000001</v>
      </c>
      <c r="R151">
        <v>136.6</v>
      </c>
      <c r="S151">
        <v>130.19999999999999</v>
      </c>
      <c r="T151">
        <v>135.6</v>
      </c>
      <c r="U151">
        <v>129.6</v>
      </c>
      <c r="V151">
        <v>126.8</v>
      </c>
      <c r="W151">
        <v>129.4</v>
      </c>
      <c r="X151">
        <v>127.1</v>
      </c>
      <c r="Y151">
        <v>117</v>
      </c>
      <c r="Z151">
        <v>124.2</v>
      </c>
      <c r="AA151">
        <v>133.30000000000001</v>
      </c>
      <c r="AB151">
        <v>121.7</v>
      </c>
      <c r="AC151">
        <v>124.4</v>
      </c>
      <c r="AD151">
        <v>130.30000000000001</v>
      </c>
    </row>
    <row r="152" spans="1:30" hidden="1" x14ac:dyDescent="0.3">
      <c r="A152" t="s">
        <v>30</v>
      </c>
      <c r="B152">
        <v>2017</v>
      </c>
      <c r="C152" t="s">
        <v>35</v>
      </c>
      <c r="D152">
        <v>133.30000000000001</v>
      </c>
      <c r="E152">
        <v>138.30000000000001</v>
      </c>
      <c r="F152">
        <v>129.30000000000001</v>
      </c>
      <c r="G152">
        <v>137.19999999999999</v>
      </c>
      <c r="H152">
        <v>122.1</v>
      </c>
      <c r="I152">
        <v>138.69999999999999</v>
      </c>
      <c r="J152">
        <v>119.1</v>
      </c>
      <c r="K152">
        <v>156.9</v>
      </c>
      <c r="L152">
        <v>116.2</v>
      </c>
      <c r="M152">
        <v>136</v>
      </c>
      <c r="N152">
        <v>129.4</v>
      </c>
      <c r="O152">
        <v>144.4</v>
      </c>
      <c r="P152">
        <v>133.6</v>
      </c>
      <c r="Q152">
        <v>143.69999999999999</v>
      </c>
      <c r="R152">
        <v>140.9</v>
      </c>
      <c r="S152">
        <v>135.80000000000001</v>
      </c>
      <c r="T152">
        <v>140.19999999999999</v>
      </c>
      <c r="U152" t="s">
        <v>32</v>
      </c>
      <c r="V152">
        <v>133.19999999999999</v>
      </c>
      <c r="W152">
        <v>133.6</v>
      </c>
      <c r="X152">
        <v>130.1</v>
      </c>
      <c r="Y152">
        <v>119.5</v>
      </c>
      <c r="Z152">
        <v>127.7</v>
      </c>
      <c r="AA152">
        <v>134.9</v>
      </c>
      <c r="AB152">
        <v>123.2</v>
      </c>
      <c r="AC152">
        <v>127</v>
      </c>
      <c r="AD152">
        <v>132.6</v>
      </c>
    </row>
    <row r="153" spans="1:30" hidden="1" x14ac:dyDescent="0.3">
      <c r="A153" t="s">
        <v>33</v>
      </c>
      <c r="B153">
        <v>2017</v>
      </c>
      <c r="C153" t="s">
        <v>35</v>
      </c>
      <c r="D153">
        <v>132.80000000000001</v>
      </c>
      <c r="E153">
        <v>139.80000000000001</v>
      </c>
      <c r="F153">
        <v>129.30000000000001</v>
      </c>
      <c r="G153">
        <v>133.5</v>
      </c>
      <c r="H153">
        <v>114.3</v>
      </c>
      <c r="I153">
        <v>131.4</v>
      </c>
      <c r="J153">
        <v>120.2</v>
      </c>
      <c r="K153">
        <v>143.1</v>
      </c>
      <c r="L153">
        <v>119.5</v>
      </c>
      <c r="M153">
        <v>144</v>
      </c>
      <c r="N153">
        <v>123.4</v>
      </c>
      <c r="O153">
        <v>141.9</v>
      </c>
      <c r="P153">
        <v>132.1</v>
      </c>
      <c r="Q153">
        <v>146.30000000000001</v>
      </c>
      <c r="R153">
        <v>130.5</v>
      </c>
      <c r="S153">
        <v>122.5</v>
      </c>
      <c r="T153">
        <v>129.30000000000001</v>
      </c>
      <c r="U153">
        <v>130.5</v>
      </c>
      <c r="V153">
        <v>119.2</v>
      </c>
      <c r="W153">
        <v>125.3</v>
      </c>
      <c r="X153">
        <v>122.9</v>
      </c>
      <c r="Y153">
        <v>115.5</v>
      </c>
      <c r="Z153">
        <v>122.2</v>
      </c>
      <c r="AA153">
        <v>132.4</v>
      </c>
      <c r="AB153">
        <v>121.7</v>
      </c>
      <c r="AC153">
        <v>122.4</v>
      </c>
      <c r="AD153">
        <v>128.19999999999999</v>
      </c>
    </row>
    <row r="154" spans="1:30" hidden="1" x14ac:dyDescent="0.3">
      <c r="A154" t="s">
        <v>34</v>
      </c>
      <c r="B154">
        <v>2017</v>
      </c>
      <c r="C154" t="s">
        <v>35</v>
      </c>
      <c r="D154">
        <v>133.1</v>
      </c>
      <c r="E154">
        <v>138.80000000000001</v>
      </c>
      <c r="F154">
        <v>129.30000000000001</v>
      </c>
      <c r="G154">
        <v>135.80000000000001</v>
      </c>
      <c r="H154">
        <v>119.2</v>
      </c>
      <c r="I154">
        <v>135.30000000000001</v>
      </c>
      <c r="J154">
        <v>119.5</v>
      </c>
      <c r="K154">
        <v>152.19999999999999</v>
      </c>
      <c r="L154">
        <v>117.3</v>
      </c>
      <c r="M154">
        <v>138.69999999999999</v>
      </c>
      <c r="N154">
        <v>126.9</v>
      </c>
      <c r="O154">
        <v>143.19999999999999</v>
      </c>
      <c r="P154">
        <v>133</v>
      </c>
      <c r="Q154">
        <v>144.4</v>
      </c>
      <c r="R154">
        <v>136.80000000000001</v>
      </c>
      <c r="S154">
        <v>130.30000000000001</v>
      </c>
      <c r="T154">
        <v>135.9</v>
      </c>
      <c r="U154">
        <v>130.5</v>
      </c>
      <c r="V154">
        <v>127.9</v>
      </c>
      <c r="W154">
        <v>129.69999999999999</v>
      </c>
      <c r="X154">
        <v>127.4</v>
      </c>
      <c r="Y154">
        <v>117.4</v>
      </c>
      <c r="Z154">
        <v>124.6</v>
      </c>
      <c r="AA154">
        <v>133.4</v>
      </c>
      <c r="AB154">
        <v>122.6</v>
      </c>
      <c r="AC154">
        <v>124.8</v>
      </c>
      <c r="AD154">
        <v>130.6</v>
      </c>
    </row>
    <row r="155" spans="1:30" hidden="1" x14ac:dyDescent="0.3">
      <c r="A155" t="s">
        <v>30</v>
      </c>
      <c r="B155">
        <v>2017</v>
      </c>
      <c r="C155" t="s">
        <v>36</v>
      </c>
      <c r="D155">
        <v>133.6</v>
      </c>
      <c r="E155">
        <v>138.80000000000001</v>
      </c>
      <c r="F155">
        <v>128.80000000000001</v>
      </c>
      <c r="G155">
        <v>137.19999999999999</v>
      </c>
      <c r="H155">
        <v>121.6</v>
      </c>
      <c r="I155">
        <v>139.69999999999999</v>
      </c>
      <c r="J155">
        <v>119.7</v>
      </c>
      <c r="K155">
        <v>148</v>
      </c>
      <c r="L155">
        <v>116.9</v>
      </c>
      <c r="M155">
        <v>135.6</v>
      </c>
      <c r="N155">
        <v>129.80000000000001</v>
      </c>
      <c r="O155">
        <v>145.4</v>
      </c>
      <c r="P155">
        <v>133.4</v>
      </c>
      <c r="Q155">
        <v>144.19999999999999</v>
      </c>
      <c r="R155">
        <v>141.6</v>
      </c>
      <c r="S155">
        <v>136.19999999999999</v>
      </c>
      <c r="T155">
        <v>140.80000000000001</v>
      </c>
      <c r="U155" t="s">
        <v>32</v>
      </c>
      <c r="V155">
        <v>134.19999999999999</v>
      </c>
      <c r="W155">
        <v>134.1</v>
      </c>
      <c r="X155">
        <v>130.6</v>
      </c>
      <c r="Y155">
        <v>119.8</v>
      </c>
      <c r="Z155">
        <v>128.30000000000001</v>
      </c>
      <c r="AA155">
        <v>135.19999999999999</v>
      </c>
      <c r="AB155">
        <v>123.3</v>
      </c>
      <c r="AC155">
        <v>127.4</v>
      </c>
      <c r="AD155">
        <v>132.80000000000001</v>
      </c>
    </row>
    <row r="156" spans="1:30" hidden="1" x14ac:dyDescent="0.3">
      <c r="A156" t="s">
        <v>33</v>
      </c>
      <c r="B156">
        <v>2017</v>
      </c>
      <c r="C156" t="s">
        <v>36</v>
      </c>
      <c r="D156">
        <v>132.69999999999999</v>
      </c>
      <c r="E156">
        <v>139.4</v>
      </c>
      <c r="F156">
        <v>128.4</v>
      </c>
      <c r="G156">
        <v>134.9</v>
      </c>
      <c r="H156">
        <v>114</v>
      </c>
      <c r="I156">
        <v>136.80000000000001</v>
      </c>
      <c r="J156">
        <v>122.2</v>
      </c>
      <c r="K156">
        <v>135.80000000000001</v>
      </c>
      <c r="L156">
        <v>120.3</v>
      </c>
      <c r="M156">
        <v>142.6</v>
      </c>
      <c r="N156">
        <v>123.6</v>
      </c>
      <c r="O156">
        <v>142.4</v>
      </c>
      <c r="P156">
        <v>132.6</v>
      </c>
      <c r="Q156">
        <v>147.5</v>
      </c>
      <c r="R156">
        <v>130.80000000000001</v>
      </c>
      <c r="S156">
        <v>122.8</v>
      </c>
      <c r="T156">
        <v>129.6</v>
      </c>
      <c r="U156">
        <v>131.1</v>
      </c>
      <c r="V156">
        <v>120.8</v>
      </c>
      <c r="W156">
        <v>125.6</v>
      </c>
      <c r="X156">
        <v>123.1</v>
      </c>
      <c r="Y156">
        <v>115.6</v>
      </c>
      <c r="Z156">
        <v>122.4</v>
      </c>
      <c r="AA156">
        <v>132.80000000000001</v>
      </c>
      <c r="AB156">
        <v>121.7</v>
      </c>
      <c r="AC156">
        <v>122.6</v>
      </c>
      <c r="AD156">
        <v>128.69999999999999</v>
      </c>
    </row>
    <row r="157" spans="1:30" hidden="1" x14ac:dyDescent="0.3">
      <c r="A157" t="s">
        <v>34</v>
      </c>
      <c r="B157">
        <v>2017</v>
      </c>
      <c r="C157" t="s">
        <v>36</v>
      </c>
      <c r="D157">
        <v>133.30000000000001</v>
      </c>
      <c r="E157">
        <v>139</v>
      </c>
      <c r="F157">
        <v>128.6</v>
      </c>
      <c r="G157">
        <v>136.30000000000001</v>
      </c>
      <c r="H157">
        <v>118.8</v>
      </c>
      <c r="I157">
        <v>138.30000000000001</v>
      </c>
      <c r="J157">
        <v>120.5</v>
      </c>
      <c r="K157">
        <v>143.9</v>
      </c>
      <c r="L157">
        <v>118</v>
      </c>
      <c r="M157">
        <v>137.9</v>
      </c>
      <c r="N157">
        <v>127.2</v>
      </c>
      <c r="O157">
        <v>144</v>
      </c>
      <c r="P157">
        <v>133.1</v>
      </c>
      <c r="Q157">
        <v>145.1</v>
      </c>
      <c r="R157">
        <v>137.30000000000001</v>
      </c>
      <c r="S157">
        <v>130.6</v>
      </c>
      <c r="T157">
        <v>136.4</v>
      </c>
      <c r="U157">
        <v>131.1</v>
      </c>
      <c r="V157">
        <v>129.1</v>
      </c>
      <c r="W157">
        <v>130.1</v>
      </c>
      <c r="X157">
        <v>127.8</v>
      </c>
      <c r="Y157">
        <v>117.6</v>
      </c>
      <c r="Z157">
        <v>125</v>
      </c>
      <c r="AA157">
        <v>133.80000000000001</v>
      </c>
      <c r="AB157">
        <v>122.6</v>
      </c>
      <c r="AC157">
        <v>125.1</v>
      </c>
      <c r="AD157">
        <v>130.9</v>
      </c>
    </row>
    <row r="158" spans="1:30" hidden="1" x14ac:dyDescent="0.3">
      <c r="A158" t="s">
        <v>30</v>
      </c>
      <c r="B158">
        <v>2017</v>
      </c>
      <c r="C158" t="s">
        <v>37</v>
      </c>
      <c r="D158">
        <v>133.19999999999999</v>
      </c>
      <c r="E158">
        <v>138.69999999999999</v>
      </c>
      <c r="F158">
        <v>127.1</v>
      </c>
      <c r="G158">
        <v>137.69999999999999</v>
      </c>
      <c r="H158">
        <v>121.3</v>
      </c>
      <c r="I158">
        <v>141.80000000000001</v>
      </c>
      <c r="J158">
        <v>121.5</v>
      </c>
      <c r="K158">
        <v>144.5</v>
      </c>
      <c r="L158">
        <v>117.4</v>
      </c>
      <c r="M158">
        <v>134.1</v>
      </c>
      <c r="N158">
        <v>130</v>
      </c>
      <c r="O158">
        <v>145.5</v>
      </c>
      <c r="P158">
        <v>133.5</v>
      </c>
      <c r="Q158">
        <v>144.4</v>
      </c>
      <c r="R158">
        <v>142.4</v>
      </c>
      <c r="S158">
        <v>136.80000000000001</v>
      </c>
      <c r="T158">
        <v>141.6</v>
      </c>
      <c r="U158" t="s">
        <v>32</v>
      </c>
      <c r="V158">
        <v>135</v>
      </c>
      <c r="W158">
        <v>134.30000000000001</v>
      </c>
      <c r="X158">
        <v>131</v>
      </c>
      <c r="Y158">
        <v>119.2</v>
      </c>
      <c r="Z158">
        <v>128.30000000000001</v>
      </c>
      <c r="AA158">
        <v>135.69999999999999</v>
      </c>
      <c r="AB158">
        <v>123.7</v>
      </c>
      <c r="AC158">
        <v>127.5</v>
      </c>
      <c r="AD158">
        <v>132.9</v>
      </c>
    </row>
    <row r="159" spans="1:30" hidden="1" x14ac:dyDescent="0.3">
      <c r="A159" t="s">
        <v>33</v>
      </c>
      <c r="B159">
        <v>2017</v>
      </c>
      <c r="C159" t="s">
        <v>37</v>
      </c>
      <c r="D159">
        <v>132.69999999999999</v>
      </c>
      <c r="E159">
        <v>140.6</v>
      </c>
      <c r="F159">
        <v>124.5</v>
      </c>
      <c r="G159">
        <v>136.30000000000001</v>
      </c>
      <c r="H159">
        <v>113.5</v>
      </c>
      <c r="I159">
        <v>137.69999999999999</v>
      </c>
      <c r="J159">
        <v>127.1</v>
      </c>
      <c r="K159">
        <v>133.80000000000001</v>
      </c>
      <c r="L159">
        <v>120.8</v>
      </c>
      <c r="M159">
        <v>141.30000000000001</v>
      </c>
      <c r="N159">
        <v>123.8</v>
      </c>
      <c r="O159">
        <v>142.6</v>
      </c>
      <c r="P159">
        <v>133.4</v>
      </c>
      <c r="Q159">
        <v>148</v>
      </c>
      <c r="R159">
        <v>131.19999999999999</v>
      </c>
      <c r="S159">
        <v>123</v>
      </c>
      <c r="T159">
        <v>130</v>
      </c>
      <c r="U159">
        <v>131.69999999999999</v>
      </c>
      <c r="V159">
        <v>121.4</v>
      </c>
      <c r="W159">
        <v>126</v>
      </c>
      <c r="X159">
        <v>123.4</v>
      </c>
      <c r="Y159">
        <v>114.3</v>
      </c>
      <c r="Z159">
        <v>122.6</v>
      </c>
      <c r="AA159">
        <v>133.6</v>
      </c>
      <c r="AB159">
        <v>122.2</v>
      </c>
      <c r="AC159">
        <v>122.5</v>
      </c>
      <c r="AD159">
        <v>129.1</v>
      </c>
    </row>
    <row r="160" spans="1:30" hidden="1" x14ac:dyDescent="0.3">
      <c r="A160" t="s">
        <v>34</v>
      </c>
      <c r="B160">
        <v>2017</v>
      </c>
      <c r="C160" t="s">
        <v>37</v>
      </c>
      <c r="D160">
        <v>133</v>
      </c>
      <c r="E160">
        <v>139.4</v>
      </c>
      <c r="F160">
        <v>126.1</v>
      </c>
      <c r="G160">
        <v>137.19999999999999</v>
      </c>
      <c r="H160">
        <v>118.4</v>
      </c>
      <c r="I160">
        <v>139.9</v>
      </c>
      <c r="J160">
        <v>123.4</v>
      </c>
      <c r="K160">
        <v>140.9</v>
      </c>
      <c r="L160">
        <v>118.5</v>
      </c>
      <c r="M160">
        <v>136.5</v>
      </c>
      <c r="N160">
        <v>127.4</v>
      </c>
      <c r="O160">
        <v>144.19999999999999</v>
      </c>
      <c r="P160">
        <v>133.5</v>
      </c>
      <c r="Q160">
        <v>145.4</v>
      </c>
      <c r="R160">
        <v>138</v>
      </c>
      <c r="S160">
        <v>131.1</v>
      </c>
      <c r="T160">
        <v>137</v>
      </c>
      <c r="U160">
        <v>131.69999999999999</v>
      </c>
      <c r="V160">
        <v>129.80000000000001</v>
      </c>
      <c r="W160">
        <v>130.4</v>
      </c>
      <c r="X160">
        <v>128.1</v>
      </c>
      <c r="Y160">
        <v>116.6</v>
      </c>
      <c r="Z160">
        <v>125.1</v>
      </c>
      <c r="AA160">
        <v>134.5</v>
      </c>
      <c r="AB160">
        <v>123.1</v>
      </c>
      <c r="AC160">
        <v>125.1</v>
      </c>
      <c r="AD160">
        <v>131.1</v>
      </c>
    </row>
    <row r="161" spans="1:30" hidden="1" x14ac:dyDescent="0.3">
      <c r="A161" t="s">
        <v>30</v>
      </c>
      <c r="B161">
        <v>2017</v>
      </c>
      <c r="C161" t="s">
        <v>38</v>
      </c>
      <c r="D161">
        <v>133.1</v>
      </c>
      <c r="E161">
        <v>140.30000000000001</v>
      </c>
      <c r="F161">
        <v>126.8</v>
      </c>
      <c r="G161">
        <v>138.19999999999999</v>
      </c>
      <c r="H161">
        <v>120.8</v>
      </c>
      <c r="I161">
        <v>140.19999999999999</v>
      </c>
      <c r="J161">
        <v>123.8</v>
      </c>
      <c r="K161">
        <v>141.80000000000001</v>
      </c>
      <c r="L161">
        <v>118.6</v>
      </c>
      <c r="M161">
        <v>134</v>
      </c>
      <c r="N161">
        <v>130.30000000000001</v>
      </c>
      <c r="O161">
        <v>145.80000000000001</v>
      </c>
      <c r="P161">
        <v>133.80000000000001</v>
      </c>
      <c r="Q161">
        <v>145.5</v>
      </c>
      <c r="R161">
        <v>142.5</v>
      </c>
      <c r="S161">
        <v>137.30000000000001</v>
      </c>
      <c r="T161">
        <v>141.80000000000001</v>
      </c>
      <c r="U161" t="s">
        <v>32</v>
      </c>
      <c r="V161">
        <v>135</v>
      </c>
      <c r="W161">
        <v>134.9</v>
      </c>
      <c r="X161">
        <v>131.4</v>
      </c>
      <c r="Y161">
        <v>119.4</v>
      </c>
      <c r="Z161">
        <v>129.4</v>
      </c>
      <c r="AA161">
        <v>136.30000000000001</v>
      </c>
      <c r="AB161">
        <v>123.7</v>
      </c>
      <c r="AC161">
        <v>127.9</v>
      </c>
      <c r="AD161">
        <v>133.30000000000001</v>
      </c>
    </row>
    <row r="162" spans="1:30" hidden="1" x14ac:dyDescent="0.3">
      <c r="A162" t="s">
        <v>33</v>
      </c>
      <c r="B162">
        <v>2017</v>
      </c>
      <c r="C162" t="s">
        <v>38</v>
      </c>
      <c r="D162">
        <v>132.6</v>
      </c>
      <c r="E162">
        <v>144.1</v>
      </c>
      <c r="F162">
        <v>125.6</v>
      </c>
      <c r="G162">
        <v>136.80000000000001</v>
      </c>
      <c r="H162">
        <v>113.4</v>
      </c>
      <c r="I162">
        <v>135.19999999999999</v>
      </c>
      <c r="J162">
        <v>129.19999999999999</v>
      </c>
      <c r="K162">
        <v>131.5</v>
      </c>
      <c r="L162">
        <v>121</v>
      </c>
      <c r="M162">
        <v>139.9</v>
      </c>
      <c r="N162">
        <v>123.8</v>
      </c>
      <c r="O162">
        <v>142.9</v>
      </c>
      <c r="P162">
        <v>133.6</v>
      </c>
      <c r="Q162">
        <v>148.30000000000001</v>
      </c>
      <c r="R162">
        <v>131.5</v>
      </c>
      <c r="S162">
        <v>123.2</v>
      </c>
      <c r="T162">
        <v>130.19999999999999</v>
      </c>
      <c r="U162">
        <v>132.1</v>
      </c>
      <c r="V162">
        <v>120.1</v>
      </c>
      <c r="W162">
        <v>126.5</v>
      </c>
      <c r="X162">
        <v>123.6</v>
      </c>
      <c r="Y162">
        <v>114.3</v>
      </c>
      <c r="Z162">
        <v>122.8</v>
      </c>
      <c r="AA162">
        <v>133.80000000000001</v>
      </c>
      <c r="AB162">
        <v>122</v>
      </c>
      <c r="AC162">
        <v>122.6</v>
      </c>
      <c r="AD162">
        <v>129.30000000000001</v>
      </c>
    </row>
    <row r="163" spans="1:30" hidden="1" x14ac:dyDescent="0.3">
      <c r="A163" t="s">
        <v>34</v>
      </c>
      <c r="B163">
        <v>2017</v>
      </c>
      <c r="C163" t="s">
        <v>38</v>
      </c>
      <c r="D163">
        <v>132.9</v>
      </c>
      <c r="E163">
        <v>141.6</v>
      </c>
      <c r="F163">
        <v>126.3</v>
      </c>
      <c r="G163">
        <v>137.69999999999999</v>
      </c>
      <c r="H163">
        <v>118.1</v>
      </c>
      <c r="I163">
        <v>137.9</v>
      </c>
      <c r="J163">
        <v>125.6</v>
      </c>
      <c r="K163">
        <v>138.30000000000001</v>
      </c>
      <c r="L163">
        <v>119.4</v>
      </c>
      <c r="M163">
        <v>136</v>
      </c>
      <c r="N163">
        <v>127.6</v>
      </c>
      <c r="O163">
        <v>144.5</v>
      </c>
      <c r="P163">
        <v>133.69999999999999</v>
      </c>
      <c r="Q163">
        <v>146.19999999999999</v>
      </c>
      <c r="R163">
        <v>138.19999999999999</v>
      </c>
      <c r="S163">
        <v>131.4</v>
      </c>
      <c r="T163">
        <v>137.19999999999999</v>
      </c>
      <c r="U163">
        <v>132.1</v>
      </c>
      <c r="V163">
        <v>129.4</v>
      </c>
      <c r="W163">
        <v>130.9</v>
      </c>
      <c r="X163">
        <v>128.4</v>
      </c>
      <c r="Y163">
        <v>116.7</v>
      </c>
      <c r="Z163">
        <v>125.7</v>
      </c>
      <c r="AA163">
        <v>134.80000000000001</v>
      </c>
      <c r="AB163">
        <v>123</v>
      </c>
      <c r="AC163">
        <v>125.3</v>
      </c>
      <c r="AD163">
        <v>131.4</v>
      </c>
    </row>
    <row r="164" spans="1:30" hidden="1" x14ac:dyDescent="0.3">
      <c r="A164" t="s">
        <v>30</v>
      </c>
      <c r="B164">
        <v>2017</v>
      </c>
      <c r="C164" t="s">
        <v>39</v>
      </c>
      <c r="D164">
        <v>133.5</v>
      </c>
      <c r="E164">
        <v>143.69999999999999</v>
      </c>
      <c r="F164">
        <v>128</v>
      </c>
      <c r="G164">
        <v>138.6</v>
      </c>
      <c r="H164">
        <v>120.9</v>
      </c>
      <c r="I164">
        <v>140.9</v>
      </c>
      <c r="J164">
        <v>128.80000000000001</v>
      </c>
      <c r="K164">
        <v>140.19999999999999</v>
      </c>
      <c r="L164">
        <v>118.9</v>
      </c>
      <c r="M164">
        <v>133.5</v>
      </c>
      <c r="N164">
        <v>130.4</v>
      </c>
      <c r="O164">
        <v>146.5</v>
      </c>
      <c r="P164">
        <v>134.9</v>
      </c>
      <c r="Q164">
        <v>145.80000000000001</v>
      </c>
      <c r="R164">
        <v>143.1</v>
      </c>
      <c r="S164">
        <v>137.69999999999999</v>
      </c>
      <c r="T164">
        <v>142.30000000000001</v>
      </c>
      <c r="U164" t="s">
        <v>32</v>
      </c>
      <c r="V164">
        <v>134.80000000000001</v>
      </c>
      <c r="W164">
        <v>135.19999999999999</v>
      </c>
      <c r="X164">
        <v>131.30000000000001</v>
      </c>
      <c r="Y164">
        <v>119.4</v>
      </c>
      <c r="Z164">
        <v>129.80000000000001</v>
      </c>
      <c r="AA164">
        <v>136.9</v>
      </c>
      <c r="AB164">
        <v>124.1</v>
      </c>
      <c r="AC164">
        <v>128.1</v>
      </c>
      <c r="AD164">
        <v>133.9</v>
      </c>
    </row>
    <row r="165" spans="1:30" hidden="1" x14ac:dyDescent="0.3">
      <c r="A165" t="s">
        <v>33</v>
      </c>
      <c r="B165">
        <v>2017</v>
      </c>
      <c r="C165" t="s">
        <v>39</v>
      </c>
      <c r="D165">
        <v>132.9</v>
      </c>
      <c r="E165">
        <v>148.69999999999999</v>
      </c>
      <c r="F165">
        <v>128.30000000000001</v>
      </c>
      <c r="G165">
        <v>137.30000000000001</v>
      </c>
      <c r="H165">
        <v>113.5</v>
      </c>
      <c r="I165">
        <v>137.19999999999999</v>
      </c>
      <c r="J165">
        <v>142.19999999999999</v>
      </c>
      <c r="K165">
        <v>128.19999999999999</v>
      </c>
      <c r="L165">
        <v>120.9</v>
      </c>
      <c r="M165">
        <v>138.80000000000001</v>
      </c>
      <c r="N165">
        <v>124.2</v>
      </c>
      <c r="O165">
        <v>143.1</v>
      </c>
      <c r="P165">
        <v>135.69999999999999</v>
      </c>
      <c r="Q165">
        <v>148.6</v>
      </c>
      <c r="R165">
        <v>131.5</v>
      </c>
      <c r="S165">
        <v>123.2</v>
      </c>
      <c r="T165">
        <v>130.19999999999999</v>
      </c>
      <c r="U165">
        <v>131.4</v>
      </c>
      <c r="V165">
        <v>119</v>
      </c>
      <c r="W165">
        <v>126.8</v>
      </c>
      <c r="X165">
        <v>123.8</v>
      </c>
      <c r="Y165">
        <v>113.9</v>
      </c>
      <c r="Z165">
        <v>122.9</v>
      </c>
      <c r="AA165">
        <v>134.30000000000001</v>
      </c>
      <c r="AB165">
        <v>122.5</v>
      </c>
      <c r="AC165">
        <v>122.7</v>
      </c>
      <c r="AD165">
        <v>129.9</v>
      </c>
    </row>
    <row r="166" spans="1:30" hidden="1" x14ac:dyDescent="0.3">
      <c r="A166" t="s">
        <v>34</v>
      </c>
      <c r="B166">
        <v>2017</v>
      </c>
      <c r="C166" t="s">
        <v>39</v>
      </c>
      <c r="D166">
        <v>133.30000000000001</v>
      </c>
      <c r="E166">
        <v>145.5</v>
      </c>
      <c r="F166">
        <v>128.1</v>
      </c>
      <c r="G166">
        <v>138.1</v>
      </c>
      <c r="H166">
        <v>118.2</v>
      </c>
      <c r="I166">
        <v>139.19999999999999</v>
      </c>
      <c r="J166">
        <v>133.30000000000001</v>
      </c>
      <c r="K166">
        <v>136.19999999999999</v>
      </c>
      <c r="L166">
        <v>119.6</v>
      </c>
      <c r="M166">
        <v>135.30000000000001</v>
      </c>
      <c r="N166">
        <v>127.8</v>
      </c>
      <c r="O166">
        <v>144.9</v>
      </c>
      <c r="P166">
        <v>135.19999999999999</v>
      </c>
      <c r="Q166">
        <v>146.5</v>
      </c>
      <c r="R166">
        <v>138.5</v>
      </c>
      <c r="S166">
        <v>131.69999999999999</v>
      </c>
      <c r="T166">
        <v>137.5</v>
      </c>
      <c r="U166">
        <v>131.4</v>
      </c>
      <c r="V166">
        <v>128.80000000000001</v>
      </c>
      <c r="W166">
        <v>131.19999999999999</v>
      </c>
      <c r="X166">
        <v>128.5</v>
      </c>
      <c r="Y166">
        <v>116.5</v>
      </c>
      <c r="Z166">
        <v>125.9</v>
      </c>
      <c r="AA166">
        <v>135.4</v>
      </c>
      <c r="AB166">
        <v>123.4</v>
      </c>
      <c r="AC166">
        <v>125.5</v>
      </c>
      <c r="AD166">
        <v>132</v>
      </c>
    </row>
    <row r="167" spans="1:30" hidden="1" x14ac:dyDescent="0.3">
      <c r="A167" t="s">
        <v>30</v>
      </c>
      <c r="B167">
        <v>2017</v>
      </c>
      <c r="C167" t="s">
        <v>40</v>
      </c>
      <c r="D167">
        <v>134</v>
      </c>
      <c r="E167">
        <v>144.19999999999999</v>
      </c>
      <c r="F167">
        <v>129.80000000000001</v>
      </c>
      <c r="G167">
        <v>139</v>
      </c>
      <c r="H167">
        <v>120.9</v>
      </c>
      <c r="I167">
        <v>143.9</v>
      </c>
      <c r="J167">
        <v>151.5</v>
      </c>
      <c r="K167">
        <v>138.1</v>
      </c>
      <c r="L167">
        <v>120</v>
      </c>
      <c r="M167">
        <v>133.9</v>
      </c>
      <c r="N167">
        <v>131.4</v>
      </c>
      <c r="O167">
        <v>147.69999999999999</v>
      </c>
      <c r="P167">
        <v>138.5</v>
      </c>
      <c r="Q167">
        <v>147.4</v>
      </c>
      <c r="R167">
        <v>144.30000000000001</v>
      </c>
      <c r="S167">
        <v>138.1</v>
      </c>
      <c r="T167">
        <v>143.5</v>
      </c>
      <c r="U167" t="s">
        <v>32</v>
      </c>
      <c r="V167">
        <v>135.30000000000001</v>
      </c>
      <c r="W167">
        <v>136.1</v>
      </c>
      <c r="X167">
        <v>132.1</v>
      </c>
      <c r="Y167">
        <v>119.1</v>
      </c>
      <c r="Z167">
        <v>130.6</v>
      </c>
      <c r="AA167">
        <v>138.6</v>
      </c>
      <c r="AB167">
        <v>124.4</v>
      </c>
      <c r="AC167">
        <v>128.6</v>
      </c>
      <c r="AD167">
        <v>136.19999999999999</v>
      </c>
    </row>
    <row r="168" spans="1:30" hidden="1" x14ac:dyDescent="0.3">
      <c r="A168" t="s">
        <v>33</v>
      </c>
      <c r="B168">
        <v>2017</v>
      </c>
      <c r="C168" t="s">
        <v>40</v>
      </c>
      <c r="D168">
        <v>132.80000000000001</v>
      </c>
      <c r="E168">
        <v>148.4</v>
      </c>
      <c r="F168">
        <v>129.4</v>
      </c>
      <c r="G168">
        <v>137.69999999999999</v>
      </c>
      <c r="H168">
        <v>113.4</v>
      </c>
      <c r="I168">
        <v>139.4</v>
      </c>
      <c r="J168">
        <v>175.1</v>
      </c>
      <c r="K168">
        <v>124.7</v>
      </c>
      <c r="L168">
        <v>121.5</v>
      </c>
      <c r="M168">
        <v>137.80000000000001</v>
      </c>
      <c r="N168">
        <v>124.4</v>
      </c>
      <c r="O168">
        <v>143.69999999999999</v>
      </c>
      <c r="P168">
        <v>139.80000000000001</v>
      </c>
      <c r="Q168">
        <v>150.5</v>
      </c>
      <c r="R168">
        <v>131.6</v>
      </c>
      <c r="S168">
        <v>123.7</v>
      </c>
      <c r="T168">
        <v>130.4</v>
      </c>
      <c r="U168">
        <v>132.6</v>
      </c>
      <c r="V168">
        <v>119.7</v>
      </c>
      <c r="W168">
        <v>127.2</v>
      </c>
      <c r="X168">
        <v>125</v>
      </c>
      <c r="Y168">
        <v>113.2</v>
      </c>
      <c r="Z168">
        <v>123.5</v>
      </c>
      <c r="AA168">
        <v>135.5</v>
      </c>
      <c r="AB168">
        <v>122.4</v>
      </c>
      <c r="AC168">
        <v>123</v>
      </c>
      <c r="AD168">
        <v>131.80000000000001</v>
      </c>
    </row>
    <row r="169" spans="1:30" hidden="1" x14ac:dyDescent="0.3">
      <c r="A169" t="s">
        <v>34</v>
      </c>
      <c r="B169">
        <v>2017</v>
      </c>
      <c r="C169" t="s">
        <v>40</v>
      </c>
      <c r="D169">
        <v>133.6</v>
      </c>
      <c r="E169">
        <v>145.69999999999999</v>
      </c>
      <c r="F169">
        <v>129.6</v>
      </c>
      <c r="G169">
        <v>138.5</v>
      </c>
      <c r="H169">
        <v>118.1</v>
      </c>
      <c r="I169">
        <v>141.80000000000001</v>
      </c>
      <c r="J169">
        <v>159.5</v>
      </c>
      <c r="K169">
        <v>133.6</v>
      </c>
      <c r="L169">
        <v>120.5</v>
      </c>
      <c r="M169">
        <v>135.19999999999999</v>
      </c>
      <c r="N169">
        <v>128.5</v>
      </c>
      <c r="O169">
        <v>145.80000000000001</v>
      </c>
      <c r="P169">
        <v>139</v>
      </c>
      <c r="Q169">
        <v>148.19999999999999</v>
      </c>
      <c r="R169">
        <v>139.30000000000001</v>
      </c>
      <c r="S169">
        <v>132.1</v>
      </c>
      <c r="T169">
        <v>138.30000000000001</v>
      </c>
      <c r="U169">
        <v>132.6</v>
      </c>
      <c r="V169">
        <v>129.4</v>
      </c>
      <c r="W169">
        <v>131.9</v>
      </c>
      <c r="X169">
        <v>129.4</v>
      </c>
      <c r="Y169">
        <v>116</v>
      </c>
      <c r="Z169">
        <v>126.6</v>
      </c>
      <c r="AA169">
        <v>136.80000000000001</v>
      </c>
      <c r="AB169">
        <v>123.6</v>
      </c>
      <c r="AC169">
        <v>125.9</v>
      </c>
      <c r="AD169">
        <v>134.19999999999999</v>
      </c>
    </row>
    <row r="170" spans="1:30" hidden="1" x14ac:dyDescent="0.3">
      <c r="A170" t="s">
        <v>30</v>
      </c>
      <c r="B170">
        <v>2017</v>
      </c>
      <c r="C170" t="s">
        <v>41</v>
      </c>
      <c r="D170">
        <v>134.80000000000001</v>
      </c>
      <c r="E170">
        <v>143.1</v>
      </c>
      <c r="F170">
        <v>130</v>
      </c>
      <c r="G170">
        <v>139.4</v>
      </c>
      <c r="H170">
        <v>120.5</v>
      </c>
      <c r="I170">
        <v>148</v>
      </c>
      <c r="J170">
        <v>162.9</v>
      </c>
      <c r="K170">
        <v>137.4</v>
      </c>
      <c r="L170">
        <v>120.8</v>
      </c>
      <c r="M170">
        <v>134.69999999999999</v>
      </c>
      <c r="N170">
        <v>131.6</v>
      </c>
      <c r="O170">
        <v>148.69999999999999</v>
      </c>
      <c r="P170">
        <v>140.6</v>
      </c>
      <c r="Q170">
        <v>149</v>
      </c>
      <c r="R170">
        <v>145.30000000000001</v>
      </c>
      <c r="S170">
        <v>139.19999999999999</v>
      </c>
      <c r="T170">
        <v>144.5</v>
      </c>
      <c r="U170" t="s">
        <v>32</v>
      </c>
      <c r="V170">
        <v>136.4</v>
      </c>
      <c r="W170">
        <v>137.30000000000001</v>
      </c>
      <c r="X170">
        <v>133</v>
      </c>
      <c r="Y170">
        <v>120.3</v>
      </c>
      <c r="Z170">
        <v>131.5</v>
      </c>
      <c r="AA170">
        <v>140.19999999999999</v>
      </c>
      <c r="AB170">
        <v>125.4</v>
      </c>
      <c r="AC170">
        <v>129.69999999999999</v>
      </c>
      <c r="AD170">
        <v>137.80000000000001</v>
      </c>
    </row>
    <row r="171" spans="1:30" hidden="1" x14ac:dyDescent="0.3">
      <c r="A171" t="s">
        <v>33</v>
      </c>
      <c r="B171">
        <v>2017</v>
      </c>
      <c r="C171" t="s">
        <v>41</v>
      </c>
      <c r="D171">
        <v>133.19999999999999</v>
      </c>
      <c r="E171">
        <v>143.9</v>
      </c>
      <c r="F171">
        <v>128.30000000000001</v>
      </c>
      <c r="G171">
        <v>138.30000000000001</v>
      </c>
      <c r="H171">
        <v>114.1</v>
      </c>
      <c r="I171">
        <v>142.69999999999999</v>
      </c>
      <c r="J171">
        <v>179.8</v>
      </c>
      <c r="K171">
        <v>123.5</v>
      </c>
      <c r="L171">
        <v>122.1</v>
      </c>
      <c r="M171">
        <v>137.5</v>
      </c>
      <c r="N171">
        <v>124.6</v>
      </c>
      <c r="O171">
        <v>144.5</v>
      </c>
      <c r="P171">
        <v>140.5</v>
      </c>
      <c r="Q171">
        <v>152.1</v>
      </c>
      <c r="R171">
        <v>132.69999999999999</v>
      </c>
      <c r="S171">
        <v>124.3</v>
      </c>
      <c r="T171">
        <v>131.4</v>
      </c>
      <c r="U171">
        <v>134.4</v>
      </c>
      <c r="V171">
        <v>118.9</v>
      </c>
      <c r="W171">
        <v>127.7</v>
      </c>
      <c r="X171">
        <v>125.7</v>
      </c>
      <c r="Y171">
        <v>114.6</v>
      </c>
      <c r="Z171">
        <v>124.1</v>
      </c>
      <c r="AA171">
        <v>135.69999999999999</v>
      </c>
      <c r="AB171">
        <v>123.3</v>
      </c>
      <c r="AC171">
        <v>123.8</v>
      </c>
      <c r="AD171">
        <v>132.69999999999999</v>
      </c>
    </row>
    <row r="172" spans="1:30" hidden="1" x14ac:dyDescent="0.3">
      <c r="A172" t="s">
        <v>34</v>
      </c>
      <c r="B172">
        <v>2017</v>
      </c>
      <c r="C172" t="s">
        <v>41</v>
      </c>
      <c r="D172">
        <v>134.30000000000001</v>
      </c>
      <c r="E172">
        <v>143.4</v>
      </c>
      <c r="F172">
        <v>129.30000000000001</v>
      </c>
      <c r="G172">
        <v>139</v>
      </c>
      <c r="H172">
        <v>118.1</v>
      </c>
      <c r="I172">
        <v>145.5</v>
      </c>
      <c r="J172">
        <v>168.6</v>
      </c>
      <c r="K172">
        <v>132.69999999999999</v>
      </c>
      <c r="L172">
        <v>121.2</v>
      </c>
      <c r="M172">
        <v>135.6</v>
      </c>
      <c r="N172">
        <v>128.69999999999999</v>
      </c>
      <c r="O172">
        <v>146.80000000000001</v>
      </c>
      <c r="P172">
        <v>140.6</v>
      </c>
      <c r="Q172">
        <v>149.80000000000001</v>
      </c>
      <c r="R172">
        <v>140.30000000000001</v>
      </c>
      <c r="S172">
        <v>133</v>
      </c>
      <c r="T172">
        <v>139.30000000000001</v>
      </c>
      <c r="U172">
        <v>134.4</v>
      </c>
      <c r="V172">
        <v>129.80000000000001</v>
      </c>
      <c r="W172">
        <v>132.80000000000001</v>
      </c>
      <c r="X172">
        <v>130.19999999999999</v>
      </c>
      <c r="Y172">
        <v>117.3</v>
      </c>
      <c r="Z172">
        <v>127.3</v>
      </c>
      <c r="AA172">
        <v>137.6</v>
      </c>
      <c r="AB172">
        <v>124.5</v>
      </c>
      <c r="AC172">
        <v>126.8</v>
      </c>
      <c r="AD172">
        <v>135.4</v>
      </c>
    </row>
    <row r="173" spans="1:30" hidden="1" x14ac:dyDescent="0.3">
      <c r="A173" t="s">
        <v>30</v>
      </c>
      <c r="B173">
        <v>2017</v>
      </c>
      <c r="C173" t="s">
        <v>42</v>
      </c>
      <c r="D173">
        <v>135.19999999999999</v>
      </c>
      <c r="E173">
        <v>142</v>
      </c>
      <c r="F173">
        <v>130.5</v>
      </c>
      <c r="G173">
        <v>140.19999999999999</v>
      </c>
      <c r="H173">
        <v>120.7</v>
      </c>
      <c r="I173">
        <v>147.80000000000001</v>
      </c>
      <c r="J173">
        <v>154.5</v>
      </c>
      <c r="K173">
        <v>137.1</v>
      </c>
      <c r="L173">
        <v>121</v>
      </c>
      <c r="M173">
        <v>134.69999999999999</v>
      </c>
      <c r="N173">
        <v>131.69999999999999</v>
      </c>
      <c r="O173">
        <v>149.30000000000001</v>
      </c>
      <c r="P173">
        <v>139.6</v>
      </c>
      <c r="Q173">
        <v>149.80000000000001</v>
      </c>
      <c r="R173">
        <v>146.1</v>
      </c>
      <c r="S173">
        <v>139.69999999999999</v>
      </c>
      <c r="T173">
        <v>145.19999999999999</v>
      </c>
      <c r="U173" t="s">
        <v>32</v>
      </c>
      <c r="V173">
        <v>137.4</v>
      </c>
      <c r="W173">
        <v>137.9</v>
      </c>
      <c r="X173">
        <v>133.4</v>
      </c>
      <c r="Y173">
        <v>121.2</v>
      </c>
      <c r="Z173">
        <v>132.30000000000001</v>
      </c>
      <c r="AA173">
        <v>139.6</v>
      </c>
      <c r="AB173">
        <v>126.7</v>
      </c>
      <c r="AC173">
        <v>130.30000000000001</v>
      </c>
      <c r="AD173">
        <v>137.6</v>
      </c>
    </row>
    <row r="174" spans="1:30" hidden="1" x14ac:dyDescent="0.3">
      <c r="A174" t="s">
        <v>33</v>
      </c>
      <c r="B174">
        <v>2017</v>
      </c>
      <c r="C174" t="s">
        <v>42</v>
      </c>
      <c r="D174">
        <v>133.6</v>
      </c>
      <c r="E174">
        <v>143</v>
      </c>
      <c r="F174">
        <v>129.69999999999999</v>
      </c>
      <c r="G174">
        <v>138.69999999999999</v>
      </c>
      <c r="H174">
        <v>114.5</v>
      </c>
      <c r="I174">
        <v>137.5</v>
      </c>
      <c r="J174">
        <v>160.69999999999999</v>
      </c>
      <c r="K174">
        <v>124.5</v>
      </c>
      <c r="L174">
        <v>122.4</v>
      </c>
      <c r="M174">
        <v>137.30000000000001</v>
      </c>
      <c r="N174">
        <v>124.8</v>
      </c>
      <c r="O174">
        <v>145</v>
      </c>
      <c r="P174">
        <v>138</v>
      </c>
      <c r="Q174">
        <v>153.6</v>
      </c>
      <c r="R174">
        <v>133.30000000000001</v>
      </c>
      <c r="S174">
        <v>124.6</v>
      </c>
      <c r="T174">
        <v>132</v>
      </c>
      <c r="U174">
        <v>135.69999999999999</v>
      </c>
      <c r="V174">
        <v>120.6</v>
      </c>
      <c r="W174">
        <v>128.1</v>
      </c>
      <c r="X174">
        <v>126.1</v>
      </c>
      <c r="Y174">
        <v>115.7</v>
      </c>
      <c r="Z174">
        <v>124.5</v>
      </c>
      <c r="AA174">
        <v>135.9</v>
      </c>
      <c r="AB174">
        <v>124.4</v>
      </c>
      <c r="AC174">
        <v>124.5</v>
      </c>
      <c r="AD174">
        <v>132.4</v>
      </c>
    </row>
    <row r="175" spans="1:30" hidden="1" x14ac:dyDescent="0.3">
      <c r="A175" t="s">
        <v>34</v>
      </c>
      <c r="B175">
        <v>2017</v>
      </c>
      <c r="C175" t="s">
        <v>42</v>
      </c>
      <c r="D175">
        <v>134.69999999999999</v>
      </c>
      <c r="E175">
        <v>142.4</v>
      </c>
      <c r="F175">
        <v>130.19999999999999</v>
      </c>
      <c r="G175">
        <v>139.6</v>
      </c>
      <c r="H175">
        <v>118.4</v>
      </c>
      <c r="I175">
        <v>143</v>
      </c>
      <c r="J175">
        <v>156.6</v>
      </c>
      <c r="K175">
        <v>132.9</v>
      </c>
      <c r="L175">
        <v>121.5</v>
      </c>
      <c r="M175">
        <v>135.6</v>
      </c>
      <c r="N175">
        <v>128.80000000000001</v>
      </c>
      <c r="O175">
        <v>147.30000000000001</v>
      </c>
      <c r="P175">
        <v>139</v>
      </c>
      <c r="Q175">
        <v>150.80000000000001</v>
      </c>
      <c r="R175">
        <v>141.1</v>
      </c>
      <c r="S175">
        <v>133.4</v>
      </c>
      <c r="T175">
        <v>140</v>
      </c>
      <c r="U175">
        <v>135.69999999999999</v>
      </c>
      <c r="V175">
        <v>131</v>
      </c>
      <c r="W175">
        <v>133.30000000000001</v>
      </c>
      <c r="X175">
        <v>130.6</v>
      </c>
      <c r="Y175">
        <v>118.3</v>
      </c>
      <c r="Z175">
        <v>127.9</v>
      </c>
      <c r="AA175">
        <v>137.4</v>
      </c>
      <c r="AB175">
        <v>125.7</v>
      </c>
      <c r="AC175">
        <v>127.5</v>
      </c>
      <c r="AD175">
        <v>135.19999999999999</v>
      </c>
    </row>
    <row r="176" spans="1:30" hidden="1" x14ac:dyDescent="0.3">
      <c r="A176" t="s">
        <v>30</v>
      </c>
      <c r="B176">
        <v>2017</v>
      </c>
      <c r="C176" t="s">
        <v>43</v>
      </c>
      <c r="D176">
        <v>135.9</v>
      </c>
      <c r="E176">
        <v>141.9</v>
      </c>
      <c r="F176">
        <v>131</v>
      </c>
      <c r="G176">
        <v>141.5</v>
      </c>
      <c r="H176">
        <v>121.4</v>
      </c>
      <c r="I176">
        <v>146.69999999999999</v>
      </c>
      <c r="J176">
        <v>157.1</v>
      </c>
      <c r="K176">
        <v>136.4</v>
      </c>
      <c r="L176">
        <v>121.4</v>
      </c>
      <c r="M176">
        <v>135.6</v>
      </c>
      <c r="N176">
        <v>131.30000000000001</v>
      </c>
      <c r="O176">
        <v>150.30000000000001</v>
      </c>
      <c r="P176">
        <v>140.4</v>
      </c>
      <c r="Q176">
        <v>150.5</v>
      </c>
      <c r="R176">
        <v>147.19999999999999</v>
      </c>
      <c r="S176">
        <v>140.6</v>
      </c>
      <c r="T176">
        <v>146.19999999999999</v>
      </c>
      <c r="U176" t="s">
        <v>32</v>
      </c>
      <c r="V176">
        <v>138.1</v>
      </c>
      <c r="W176">
        <v>138.4</v>
      </c>
      <c r="X176">
        <v>134.19999999999999</v>
      </c>
      <c r="Y176">
        <v>121</v>
      </c>
      <c r="Z176">
        <v>133</v>
      </c>
      <c r="AA176">
        <v>140.1</v>
      </c>
      <c r="AB176">
        <v>127.4</v>
      </c>
      <c r="AC176">
        <v>130.69999999999999</v>
      </c>
      <c r="AD176">
        <v>138.30000000000001</v>
      </c>
    </row>
    <row r="177" spans="1:30" hidden="1" x14ac:dyDescent="0.3">
      <c r="A177" t="s">
        <v>33</v>
      </c>
      <c r="B177">
        <v>2017</v>
      </c>
      <c r="C177" t="s">
        <v>43</v>
      </c>
      <c r="D177">
        <v>133.9</v>
      </c>
      <c r="E177">
        <v>142.80000000000001</v>
      </c>
      <c r="F177">
        <v>131.4</v>
      </c>
      <c r="G177">
        <v>139.1</v>
      </c>
      <c r="H177">
        <v>114.9</v>
      </c>
      <c r="I177">
        <v>135.6</v>
      </c>
      <c r="J177">
        <v>173.2</v>
      </c>
      <c r="K177">
        <v>124.1</v>
      </c>
      <c r="L177">
        <v>122.6</v>
      </c>
      <c r="M177">
        <v>137.80000000000001</v>
      </c>
      <c r="N177">
        <v>125.1</v>
      </c>
      <c r="O177">
        <v>145.5</v>
      </c>
      <c r="P177">
        <v>139.69999999999999</v>
      </c>
      <c r="Q177">
        <v>154.6</v>
      </c>
      <c r="R177">
        <v>134</v>
      </c>
      <c r="S177">
        <v>124.9</v>
      </c>
      <c r="T177">
        <v>132.6</v>
      </c>
      <c r="U177">
        <v>137.30000000000001</v>
      </c>
      <c r="V177">
        <v>122.6</v>
      </c>
      <c r="W177">
        <v>128.30000000000001</v>
      </c>
      <c r="X177">
        <v>126.6</v>
      </c>
      <c r="Y177">
        <v>115</v>
      </c>
      <c r="Z177">
        <v>124.8</v>
      </c>
      <c r="AA177">
        <v>136.30000000000001</v>
      </c>
      <c r="AB177">
        <v>124.6</v>
      </c>
      <c r="AC177">
        <v>124.5</v>
      </c>
      <c r="AD177">
        <v>133.5</v>
      </c>
    </row>
    <row r="178" spans="1:30" hidden="1" x14ac:dyDescent="0.3">
      <c r="A178" t="s">
        <v>34</v>
      </c>
      <c r="B178">
        <v>2017</v>
      </c>
      <c r="C178" t="s">
        <v>43</v>
      </c>
      <c r="D178">
        <v>135.30000000000001</v>
      </c>
      <c r="E178">
        <v>142.19999999999999</v>
      </c>
      <c r="F178">
        <v>131.19999999999999</v>
      </c>
      <c r="G178">
        <v>140.6</v>
      </c>
      <c r="H178">
        <v>119</v>
      </c>
      <c r="I178">
        <v>141.5</v>
      </c>
      <c r="J178">
        <v>162.6</v>
      </c>
      <c r="K178">
        <v>132.30000000000001</v>
      </c>
      <c r="L178">
        <v>121.8</v>
      </c>
      <c r="M178">
        <v>136.30000000000001</v>
      </c>
      <c r="N178">
        <v>128.69999999999999</v>
      </c>
      <c r="O178">
        <v>148.1</v>
      </c>
      <c r="P178">
        <v>140.1</v>
      </c>
      <c r="Q178">
        <v>151.6</v>
      </c>
      <c r="R178">
        <v>142</v>
      </c>
      <c r="S178">
        <v>134.1</v>
      </c>
      <c r="T178">
        <v>140.80000000000001</v>
      </c>
      <c r="U178">
        <v>137.30000000000001</v>
      </c>
      <c r="V178">
        <v>132.19999999999999</v>
      </c>
      <c r="W178">
        <v>133.6</v>
      </c>
      <c r="X178">
        <v>131.30000000000001</v>
      </c>
      <c r="Y178">
        <v>117.8</v>
      </c>
      <c r="Z178">
        <v>128.4</v>
      </c>
      <c r="AA178">
        <v>137.9</v>
      </c>
      <c r="AB178">
        <v>126.2</v>
      </c>
      <c r="AC178">
        <v>127.7</v>
      </c>
      <c r="AD178">
        <v>136.1</v>
      </c>
    </row>
    <row r="179" spans="1:30" hidden="1" x14ac:dyDescent="0.3">
      <c r="A179" t="s">
        <v>30</v>
      </c>
      <c r="B179">
        <v>2017</v>
      </c>
      <c r="C179" t="s">
        <v>45</v>
      </c>
      <c r="D179">
        <v>136.30000000000001</v>
      </c>
      <c r="E179">
        <v>142.5</v>
      </c>
      <c r="F179">
        <v>140.5</v>
      </c>
      <c r="G179">
        <v>141.5</v>
      </c>
      <c r="H179">
        <v>121.6</v>
      </c>
      <c r="I179">
        <v>147.30000000000001</v>
      </c>
      <c r="J179">
        <v>168</v>
      </c>
      <c r="K179">
        <v>135.80000000000001</v>
      </c>
      <c r="L179">
        <v>122.5</v>
      </c>
      <c r="M179">
        <v>136</v>
      </c>
      <c r="N179">
        <v>131.9</v>
      </c>
      <c r="O179">
        <v>151.4</v>
      </c>
      <c r="P179">
        <v>142.4</v>
      </c>
      <c r="Q179">
        <v>152.1</v>
      </c>
      <c r="R179">
        <v>148.19999999999999</v>
      </c>
      <c r="S179">
        <v>141.5</v>
      </c>
      <c r="T179">
        <v>147.30000000000001</v>
      </c>
      <c r="U179" t="s">
        <v>32</v>
      </c>
      <c r="V179">
        <v>141.1</v>
      </c>
      <c r="W179">
        <v>139.4</v>
      </c>
      <c r="X179">
        <v>135.80000000000001</v>
      </c>
      <c r="Y179">
        <v>121.6</v>
      </c>
      <c r="Z179">
        <v>133.69999999999999</v>
      </c>
      <c r="AA179">
        <v>141.5</v>
      </c>
      <c r="AB179">
        <v>128.1</v>
      </c>
      <c r="AC179">
        <v>131.69999999999999</v>
      </c>
      <c r="AD179">
        <v>140</v>
      </c>
    </row>
    <row r="180" spans="1:30" hidden="1" x14ac:dyDescent="0.3">
      <c r="A180" t="s">
        <v>33</v>
      </c>
      <c r="B180">
        <v>2017</v>
      </c>
      <c r="C180" t="s">
        <v>45</v>
      </c>
      <c r="D180">
        <v>134.30000000000001</v>
      </c>
      <c r="E180">
        <v>142.1</v>
      </c>
      <c r="F180">
        <v>146.69999999999999</v>
      </c>
      <c r="G180">
        <v>139.5</v>
      </c>
      <c r="H180">
        <v>115.2</v>
      </c>
      <c r="I180">
        <v>136.4</v>
      </c>
      <c r="J180">
        <v>185.2</v>
      </c>
      <c r="K180">
        <v>122.2</v>
      </c>
      <c r="L180">
        <v>123.9</v>
      </c>
      <c r="M180">
        <v>138.30000000000001</v>
      </c>
      <c r="N180">
        <v>125.4</v>
      </c>
      <c r="O180">
        <v>146</v>
      </c>
      <c r="P180">
        <v>141.5</v>
      </c>
      <c r="Q180">
        <v>156.19999999999999</v>
      </c>
      <c r="R180">
        <v>135</v>
      </c>
      <c r="S180">
        <v>125.4</v>
      </c>
      <c r="T180">
        <v>133.5</v>
      </c>
      <c r="U180">
        <v>138.6</v>
      </c>
      <c r="V180">
        <v>125.7</v>
      </c>
      <c r="W180">
        <v>128.80000000000001</v>
      </c>
      <c r="X180">
        <v>127.4</v>
      </c>
      <c r="Y180">
        <v>115.3</v>
      </c>
      <c r="Z180">
        <v>125.1</v>
      </c>
      <c r="AA180">
        <v>136.6</v>
      </c>
      <c r="AB180">
        <v>124.9</v>
      </c>
      <c r="AC180">
        <v>124.9</v>
      </c>
      <c r="AD180">
        <v>134.80000000000001</v>
      </c>
    </row>
    <row r="181" spans="1:30" hidden="1" x14ac:dyDescent="0.3">
      <c r="A181" t="s">
        <v>34</v>
      </c>
      <c r="B181">
        <v>2017</v>
      </c>
      <c r="C181" t="s">
        <v>45</v>
      </c>
      <c r="D181">
        <v>135.69999999999999</v>
      </c>
      <c r="E181">
        <v>142.4</v>
      </c>
      <c r="F181">
        <v>142.9</v>
      </c>
      <c r="G181">
        <v>140.80000000000001</v>
      </c>
      <c r="H181">
        <v>119.2</v>
      </c>
      <c r="I181">
        <v>142.19999999999999</v>
      </c>
      <c r="J181">
        <v>173.8</v>
      </c>
      <c r="K181">
        <v>131.19999999999999</v>
      </c>
      <c r="L181">
        <v>123</v>
      </c>
      <c r="M181">
        <v>136.80000000000001</v>
      </c>
      <c r="N181">
        <v>129.19999999999999</v>
      </c>
      <c r="O181">
        <v>148.9</v>
      </c>
      <c r="P181">
        <v>142.1</v>
      </c>
      <c r="Q181">
        <v>153.19999999999999</v>
      </c>
      <c r="R181">
        <v>143</v>
      </c>
      <c r="S181">
        <v>134.80000000000001</v>
      </c>
      <c r="T181">
        <v>141.80000000000001</v>
      </c>
      <c r="U181">
        <v>138.6</v>
      </c>
      <c r="V181">
        <v>135.30000000000001</v>
      </c>
      <c r="W181">
        <v>134.4</v>
      </c>
      <c r="X181">
        <v>132.6</v>
      </c>
      <c r="Y181">
        <v>118.3</v>
      </c>
      <c r="Z181">
        <v>128.9</v>
      </c>
      <c r="AA181">
        <v>138.6</v>
      </c>
      <c r="AB181">
        <v>126.8</v>
      </c>
      <c r="AC181">
        <v>128.4</v>
      </c>
      <c r="AD181">
        <v>137.6</v>
      </c>
    </row>
    <row r="182" spans="1:30" hidden="1" x14ac:dyDescent="0.3">
      <c r="A182" t="s">
        <v>30</v>
      </c>
      <c r="B182">
        <v>2017</v>
      </c>
      <c r="C182" t="s">
        <v>46</v>
      </c>
      <c r="D182">
        <v>136.4</v>
      </c>
      <c r="E182">
        <v>143.69999999999999</v>
      </c>
      <c r="F182">
        <v>144.80000000000001</v>
      </c>
      <c r="G182">
        <v>141.9</v>
      </c>
      <c r="H182">
        <v>123.1</v>
      </c>
      <c r="I182">
        <v>147.19999999999999</v>
      </c>
      <c r="J182">
        <v>161</v>
      </c>
      <c r="K182">
        <v>133.80000000000001</v>
      </c>
      <c r="L182">
        <v>121.9</v>
      </c>
      <c r="M182">
        <v>135.80000000000001</v>
      </c>
      <c r="N182">
        <v>131.1</v>
      </c>
      <c r="O182">
        <v>151.4</v>
      </c>
      <c r="P182">
        <v>141.5</v>
      </c>
      <c r="Q182">
        <v>153.19999999999999</v>
      </c>
      <c r="R182">
        <v>148</v>
      </c>
      <c r="S182">
        <v>141.9</v>
      </c>
      <c r="T182">
        <v>147.19999999999999</v>
      </c>
      <c r="U182" t="s">
        <v>32</v>
      </c>
      <c r="V182">
        <v>142.6</v>
      </c>
      <c r="W182">
        <v>139.5</v>
      </c>
      <c r="X182">
        <v>136.1</v>
      </c>
      <c r="Y182">
        <v>122</v>
      </c>
      <c r="Z182">
        <v>133.4</v>
      </c>
      <c r="AA182">
        <v>141.1</v>
      </c>
      <c r="AB182">
        <v>127.8</v>
      </c>
      <c r="AC182">
        <v>131.9</v>
      </c>
      <c r="AD182">
        <v>139.80000000000001</v>
      </c>
    </row>
    <row r="183" spans="1:30" hidden="1" x14ac:dyDescent="0.3">
      <c r="A183" t="s">
        <v>33</v>
      </c>
      <c r="B183">
        <v>2017</v>
      </c>
      <c r="C183" t="s">
        <v>46</v>
      </c>
      <c r="D183">
        <v>134.4</v>
      </c>
      <c r="E183">
        <v>142.6</v>
      </c>
      <c r="F183">
        <v>145.9</v>
      </c>
      <c r="G183">
        <v>139.5</v>
      </c>
      <c r="H183">
        <v>115.9</v>
      </c>
      <c r="I183">
        <v>135</v>
      </c>
      <c r="J183">
        <v>163.19999999999999</v>
      </c>
      <c r="K183">
        <v>119.8</v>
      </c>
      <c r="L183">
        <v>120.7</v>
      </c>
      <c r="M183">
        <v>139.69999999999999</v>
      </c>
      <c r="N183">
        <v>125.7</v>
      </c>
      <c r="O183">
        <v>146.30000000000001</v>
      </c>
      <c r="P183">
        <v>138.80000000000001</v>
      </c>
      <c r="Q183">
        <v>157</v>
      </c>
      <c r="R183">
        <v>135.6</v>
      </c>
      <c r="S183">
        <v>125.6</v>
      </c>
      <c r="T183">
        <v>134</v>
      </c>
      <c r="U183">
        <v>139.1</v>
      </c>
      <c r="V183">
        <v>126.8</v>
      </c>
      <c r="W183">
        <v>129.30000000000001</v>
      </c>
      <c r="X183">
        <v>128.19999999999999</v>
      </c>
      <c r="Y183">
        <v>115.3</v>
      </c>
      <c r="Z183">
        <v>125.6</v>
      </c>
      <c r="AA183">
        <v>136.69999999999999</v>
      </c>
      <c r="AB183">
        <v>124.6</v>
      </c>
      <c r="AC183">
        <v>125.1</v>
      </c>
      <c r="AD183">
        <v>134.1</v>
      </c>
    </row>
    <row r="184" spans="1:30" hidden="1" x14ac:dyDescent="0.3">
      <c r="A184" t="s">
        <v>34</v>
      </c>
      <c r="B184">
        <v>2017</v>
      </c>
      <c r="C184" t="s">
        <v>46</v>
      </c>
      <c r="D184">
        <v>135.80000000000001</v>
      </c>
      <c r="E184">
        <v>143.30000000000001</v>
      </c>
      <c r="F184">
        <v>145.19999999999999</v>
      </c>
      <c r="G184">
        <v>141</v>
      </c>
      <c r="H184">
        <v>120.5</v>
      </c>
      <c r="I184">
        <v>141.5</v>
      </c>
      <c r="J184">
        <v>161.69999999999999</v>
      </c>
      <c r="K184">
        <v>129.1</v>
      </c>
      <c r="L184">
        <v>121.5</v>
      </c>
      <c r="M184">
        <v>137.1</v>
      </c>
      <c r="N184">
        <v>128.80000000000001</v>
      </c>
      <c r="O184">
        <v>149</v>
      </c>
      <c r="P184">
        <v>140.5</v>
      </c>
      <c r="Q184">
        <v>154.19999999999999</v>
      </c>
      <c r="R184">
        <v>143.1</v>
      </c>
      <c r="S184">
        <v>135.1</v>
      </c>
      <c r="T184">
        <v>142</v>
      </c>
      <c r="U184">
        <v>139.1</v>
      </c>
      <c r="V184">
        <v>136.6</v>
      </c>
      <c r="W184">
        <v>134.69999999999999</v>
      </c>
      <c r="X184">
        <v>133.1</v>
      </c>
      <c r="Y184">
        <v>118.5</v>
      </c>
      <c r="Z184">
        <v>129</v>
      </c>
      <c r="AA184">
        <v>138.5</v>
      </c>
      <c r="AB184">
        <v>126.5</v>
      </c>
      <c r="AC184">
        <v>128.6</v>
      </c>
      <c r="AD184">
        <v>137.19999999999999</v>
      </c>
    </row>
    <row r="185" spans="1:30" hidden="1" x14ac:dyDescent="0.3">
      <c r="A185" t="s">
        <v>30</v>
      </c>
      <c r="B185">
        <v>2018</v>
      </c>
      <c r="C185" t="s">
        <v>31</v>
      </c>
      <c r="D185">
        <v>136.6</v>
      </c>
      <c r="E185">
        <v>144.4</v>
      </c>
      <c r="F185">
        <v>143.80000000000001</v>
      </c>
      <c r="G185">
        <v>142</v>
      </c>
      <c r="H185">
        <v>123.2</v>
      </c>
      <c r="I185">
        <v>147.9</v>
      </c>
      <c r="J185">
        <v>152.1</v>
      </c>
      <c r="K185">
        <v>131.80000000000001</v>
      </c>
      <c r="L185">
        <v>119.5</v>
      </c>
      <c r="M185">
        <v>136</v>
      </c>
      <c r="N185">
        <v>131.19999999999999</v>
      </c>
      <c r="O185">
        <v>151.80000000000001</v>
      </c>
      <c r="P185">
        <v>140.4</v>
      </c>
      <c r="Q185">
        <v>153.6</v>
      </c>
      <c r="R185">
        <v>148.30000000000001</v>
      </c>
      <c r="S185">
        <v>142.30000000000001</v>
      </c>
      <c r="T185">
        <v>147.5</v>
      </c>
      <c r="U185" t="s">
        <v>32</v>
      </c>
      <c r="V185">
        <v>142.30000000000001</v>
      </c>
      <c r="W185">
        <v>139.80000000000001</v>
      </c>
      <c r="X185">
        <v>136</v>
      </c>
      <c r="Y185">
        <v>122.7</v>
      </c>
      <c r="Z185">
        <v>134.30000000000001</v>
      </c>
      <c r="AA185">
        <v>141.6</v>
      </c>
      <c r="AB185">
        <v>128.6</v>
      </c>
      <c r="AC185">
        <v>132.30000000000001</v>
      </c>
      <c r="AD185">
        <v>139.30000000000001</v>
      </c>
    </row>
    <row r="186" spans="1:30" hidden="1" x14ac:dyDescent="0.3">
      <c r="A186" t="s">
        <v>33</v>
      </c>
      <c r="B186">
        <v>2018</v>
      </c>
      <c r="C186" t="s">
        <v>31</v>
      </c>
      <c r="D186">
        <v>134.6</v>
      </c>
      <c r="E186">
        <v>143.69999999999999</v>
      </c>
      <c r="F186">
        <v>143.6</v>
      </c>
      <c r="G186">
        <v>139.6</v>
      </c>
      <c r="H186">
        <v>116.4</v>
      </c>
      <c r="I186">
        <v>133.80000000000001</v>
      </c>
      <c r="J186">
        <v>150.5</v>
      </c>
      <c r="K186">
        <v>118.4</v>
      </c>
      <c r="L186">
        <v>117.3</v>
      </c>
      <c r="M186">
        <v>140.5</v>
      </c>
      <c r="N186">
        <v>125.9</v>
      </c>
      <c r="O186">
        <v>146.80000000000001</v>
      </c>
      <c r="P186">
        <v>137.19999999999999</v>
      </c>
      <c r="Q186">
        <v>157.69999999999999</v>
      </c>
      <c r="R186">
        <v>136</v>
      </c>
      <c r="S186">
        <v>125.9</v>
      </c>
      <c r="T186">
        <v>134.4</v>
      </c>
      <c r="U186">
        <v>140.4</v>
      </c>
      <c r="V186">
        <v>127.3</v>
      </c>
      <c r="W186">
        <v>129.5</v>
      </c>
      <c r="X186">
        <v>129</v>
      </c>
      <c r="Y186">
        <v>116.3</v>
      </c>
      <c r="Z186">
        <v>126.2</v>
      </c>
      <c r="AA186">
        <v>137.1</v>
      </c>
      <c r="AB186">
        <v>125.5</v>
      </c>
      <c r="AC186">
        <v>125.8</v>
      </c>
      <c r="AD186">
        <v>134.1</v>
      </c>
    </row>
    <row r="187" spans="1:30" hidden="1" x14ac:dyDescent="0.3">
      <c r="A187" t="s">
        <v>34</v>
      </c>
      <c r="B187">
        <v>2018</v>
      </c>
      <c r="C187" t="s">
        <v>31</v>
      </c>
      <c r="D187">
        <v>136</v>
      </c>
      <c r="E187">
        <v>144.19999999999999</v>
      </c>
      <c r="F187">
        <v>143.69999999999999</v>
      </c>
      <c r="G187">
        <v>141.1</v>
      </c>
      <c r="H187">
        <v>120.7</v>
      </c>
      <c r="I187">
        <v>141.30000000000001</v>
      </c>
      <c r="J187">
        <v>151.6</v>
      </c>
      <c r="K187">
        <v>127.3</v>
      </c>
      <c r="L187">
        <v>118.8</v>
      </c>
      <c r="M187">
        <v>137.5</v>
      </c>
      <c r="N187">
        <v>129</v>
      </c>
      <c r="O187">
        <v>149.5</v>
      </c>
      <c r="P187">
        <v>139.19999999999999</v>
      </c>
      <c r="Q187">
        <v>154.69999999999999</v>
      </c>
      <c r="R187">
        <v>143.5</v>
      </c>
      <c r="S187">
        <v>135.5</v>
      </c>
      <c r="T187">
        <v>142.30000000000001</v>
      </c>
      <c r="U187">
        <v>140.4</v>
      </c>
      <c r="V187">
        <v>136.6</v>
      </c>
      <c r="W187">
        <v>134.9</v>
      </c>
      <c r="X187">
        <v>133.30000000000001</v>
      </c>
      <c r="Y187">
        <v>119.3</v>
      </c>
      <c r="Z187">
        <v>129.69999999999999</v>
      </c>
      <c r="AA187">
        <v>139</v>
      </c>
      <c r="AB187">
        <v>127.3</v>
      </c>
      <c r="AC187">
        <v>129.1</v>
      </c>
      <c r="AD187">
        <v>136.9</v>
      </c>
    </row>
    <row r="188" spans="1:30" hidden="1" x14ac:dyDescent="0.3">
      <c r="A188" t="s">
        <v>30</v>
      </c>
      <c r="B188">
        <v>2018</v>
      </c>
      <c r="C188" t="s">
        <v>35</v>
      </c>
      <c r="D188">
        <v>136.4</v>
      </c>
      <c r="E188">
        <v>143.69999999999999</v>
      </c>
      <c r="F188">
        <v>140.6</v>
      </c>
      <c r="G188">
        <v>141.5</v>
      </c>
      <c r="H188">
        <v>122.9</v>
      </c>
      <c r="I188">
        <v>149.4</v>
      </c>
      <c r="J188">
        <v>142.4</v>
      </c>
      <c r="K188">
        <v>130.19999999999999</v>
      </c>
      <c r="L188">
        <v>117.9</v>
      </c>
      <c r="M188">
        <v>135.6</v>
      </c>
      <c r="N188">
        <v>130.5</v>
      </c>
      <c r="O188">
        <v>151.69999999999999</v>
      </c>
      <c r="P188">
        <v>138.69999999999999</v>
      </c>
      <c r="Q188">
        <v>153.30000000000001</v>
      </c>
      <c r="R188">
        <v>148.69999999999999</v>
      </c>
      <c r="S188">
        <v>142.4</v>
      </c>
      <c r="T188">
        <v>147.80000000000001</v>
      </c>
      <c r="U188" t="s">
        <v>32</v>
      </c>
      <c r="V188">
        <v>142.4</v>
      </c>
      <c r="W188">
        <v>139.9</v>
      </c>
      <c r="X188">
        <v>136.19999999999999</v>
      </c>
      <c r="Y188">
        <v>123.3</v>
      </c>
      <c r="Z188">
        <v>134.30000000000001</v>
      </c>
      <c r="AA188">
        <v>141.5</v>
      </c>
      <c r="AB188">
        <v>128.80000000000001</v>
      </c>
      <c r="AC188">
        <v>132.5</v>
      </c>
      <c r="AD188">
        <v>138.5</v>
      </c>
    </row>
    <row r="189" spans="1:30" hidden="1" x14ac:dyDescent="0.3">
      <c r="A189" t="s">
        <v>33</v>
      </c>
      <c r="B189">
        <v>2018</v>
      </c>
      <c r="C189" t="s">
        <v>35</v>
      </c>
      <c r="D189">
        <v>134.80000000000001</v>
      </c>
      <c r="E189">
        <v>143</v>
      </c>
      <c r="F189">
        <v>139.9</v>
      </c>
      <c r="G189">
        <v>139.9</v>
      </c>
      <c r="H189">
        <v>116.2</v>
      </c>
      <c r="I189">
        <v>135.5</v>
      </c>
      <c r="J189">
        <v>136.9</v>
      </c>
      <c r="K189">
        <v>117</v>
      </c>
      <c r="L189">
        <v>115.4</v>
      </c>
      <c r="M189">
        <v>140.69999999999999</v>
      </c>
      <c r="N189">
        <v>125.9</v>
      </c>
      <c r="O189">
        <v>147.1</v>
      </c>
      <c r="P189">
        <v>135.6</v>
      </c>
      <c r="Q189">
        <v>159.30000000000001</v>
      </c>
      <c r="R189">
        <v>136.30000000000001</v>
      </c>
      <c r="S189">
        <v>126.1</v>
      </c>
      <c r="T189">
        <v>134.69999999999999</v>
      </c>
      <c r="U189">
        <v>141.30000000000001</v>
      </c>
      <c r="V189">
        <v>127.3</v>
      </c>
      <c r="W189">
        <v>129.9</v>
      </c>
      <c r="X189">
        <v>129.80000000000001</v>
      </c>
      <c r="Y189">
        <v>117.4</v>
      </c>
      <c r="Z189">
        <v>126.5</v>
      </c>
      <c r="AA189">
        <v>137.19999999999999</v>
      </c>
      <c r="AB189">
        <v>126.2</v>
      </c>
      <c r="AC189">
        <v>126.5</v>
      </c>
      <c r="AD189">
        <v>134</v>
      </c>
    </row>
    <row r="190" spans="1:30" hidden="1" x14ac:dyDescent="0.3">
      <c r="A190" t="s">
        <v>34</v>
      </c>
      <c r="B190">
        <v>2018</v>
      </c>
      <c r="C190" t="s">
        <v>35</v>
      </c>
      <c r="D190">
        <v>135.9</v>
      </c>
      <c r="E190">
        <v>143.5</v>
      </c>
      <c r="F190">
        <v>140.30000000000001</v>
      </c>
      <c r="G190">
        <v>140.9</v>
      </c>
      <c r="H190">
        <v>120.4</v>
      </c>
      <c r="I190">
        <v>142.9</v>
      </c>
      <c r="J190">
        <v>140.5</v>
      </c>
      <c r="K190">
        <v>125.8</v>
      </c>
      <c r="L190">
        <v>117.1</v>
      </c>
      <c r="M190">
        <v>137.30000000000001</v>
      </c>
      <c r="N190">
        <v>128.6</v>
      </c>
      <c r="O190">
        <v>149.6</v>
      </c>
      <c r="P190">
        <v>137.6</v>
      </c>
      <c r="Q190">
        <v>154.9</v>
      </c>
      <c r="R190">
        <v>143.80000000000001</v>
      </c>
      <c r="S190">
        <v>135.6</v>
      </c>
      <c r="T190">
        <v>142.6</v>
      </c>
      <c r="U190">
        <v>141.30000000000001</v>
      </c>
      <c r="V190">
        <v>136.69999999999999</v>
      </c>
      <c r="W190">
        <v>135.19999999999999</v>
      </c>
      <c r="X190">
        <v>133.80000000000001</v>
      </c>
      <c r="Y190">
        <v>120.2</v>
      </c>
      <c r="Z190">
        <v>129.9</v>
      </c>
      <c r="AA190">
        <v>139</v>
      </c>
      <c r="AB190">
        <v>127.7</v>
      </c>
      <c r="AC190">
        <v>129.6</v>
      </c>
      <c r="AD190">
        <v>136.4</v>
      </c>
    </row>
    <row r="191" spans="1:30" hidden="1" x14ac:dyDescent="0.3">
      <c r="A191" t="s">
        <v>30</v>
      </c>
      <c r="B191">
        <v>2018</v>
      </c>
      <c r="C191" t="s">
        <v>36</v>
      </c>
      <c r="D191">
        <v>136.80000000000001</v>
      </c>
      <c r="E191">
        <v>143.80000000000001</v>
      </c>
      <c r="F191">
        <v>140</v>
      </c>
      <c r="G191">
        <v>142</v>
      </c>
      <c r="H191">
        <v>123.2</v>
      </c>
      <c r="I191">
        <v>152.9</v>
      </c>
      <c r="J191">
        <v>138</v>
      </c>
      <c r="K191">
        <v>129.30000000000001</v>
      </c>
      <c r="L191">
        <v>117.1</v>
      </c>
      <c r="M191">
        <v>136.30000000000001</v>
      </c>
      <c r="N191">
        <v>131.19999999999999</v>
      </c>
      <c r="O191">
        <v>152.80000000000001</v>
      </c>
      <c r="P191">
        <v>138.6</v>
      </c>
      <c r="Q191">
        <v>155.1</v>
      </c>
      <c r="R191">
        <v>149.19999999999999</v>
      </c>
      <c r="S191">
        <v>143</v>
      </c>
      <c r="T191">
        <v>148.30000000000001</v>
      </c>
      <c r="U191" t="s">
        <v>32</v>
      </c>
      <c r="V191">
        <v>142.6</v>
      </c>
      <c r="W191">
        <v>139.9</v>
      </c>
      <c r="X191">
        <v>136.69999999999999</v>
      </c>
      <c r="Y191">
        <v>124.6</v>
      </c>
      <c r="Z191">
        <v>135.1</v>
      </c>
      <c r="AA191">
        <v>142.69999999999999</v>
      </c>
      <c r="AB191">
        <v>129.30000000000001</v>
      </c>
      <c r="AC191">
        <v>133.30000000000001</v>
      </c>
      <c r="AD191">
        <v>138.69999999999999</v>
      </c>
    </row>
    <row r="192" spans="1:30" hidden="1" x14ac:dyDescent="0.3">
      <c r="A192" t="s">
        <v>33</v>
      </c>
      <c r="B192">
        <v>2018</v>
      </c>
      <c r="C192" t="s">
        <v>36</v>
      </c>
      <c r="D192">
        <v>135</v>
      </c>
      <c r="E192">
        <v>143.1</v>
      </c>
      <c r="F192">
        <v>135.5</v>
      </c>
      <c r="G192">
        <v>139.9</v>
      </c>
      <c r="H192">
        <v>116.5</v>
      </c>
      <c r="I192">
        <v>138.5</v>
      </c>
      <c r="J192">
        <v>128</v>
      </c>
      <c r="K192">
        <v>115.5</v>
      </c>
      <c r="L192">
        <v>114.2</v>
      </c>
      <c r="M192">
        <v>140.69999999999999</v>
      </c>
      <c r="N192">
        <v>126.2</v>
      </c>
      <c r="O192">
        <v>147.6</v>
      </c>
      <c r="P192">
        <v>134.80000000000001</v>
      </c>
      <c r="Q192">
        <v>159.69999999999999</v>
      </c>
      <c r="R192">
        <v>136.69999999999999</v>
      </c>
      <c r="S192">
        <v>126.7</v>
      </c>
      <c r="T192">
        <v>135.19999999999999</v>
      </c>
      <c r="U192">
        <v>142</v>
      </c>
      <c r="V192">
        <v>126.4</v>
      </c>
      <c r="W192">
        <v>130.80000000000001</v>
      </c>
      <c r="X192">
        <v>130.5</v>
      </c>
      <c r="Y192">
        <v>117.8</v>
      </c>
      <c r="Z192">
        <v>126.8</v>
      </c>
      <c r="AA192">
        <v>137.80000000000001</v>
      </c>
      <c r="AB192">
        <v>126.7</v>
      </c>
      <c r="AC192">
        <v>127.1</v>
      </c>
      <c r="AD192">
        <v>134</v>
      </c>
    </row>
    <row r="193" spans="1:30" hidden="1" x14ac:dyDescent="0.3">
      <c r="A193" t="s">
        <v>34</v>
      </c>
      <c r="B193">
        <v>2018</v>
      </c>
      <c r="C193" t="s">
        <v>36</v>
      </c>
      <c r="D193">
        <v>136.19999999999999</v>
      </c>
      <c r="E193">
        <v>143.6</v>
      </c>
      <c r="F193">
        <v>138.30000000000001</v>
      </c>
      <c r="G193">
        <v>141.19999999999999</v>
      </c>
      <c r="H193">
        <v>120.7</v>
      </c>
      <c r="I193">
        <v>146.19999999999999</v>
      </c>
      <c r="J193">
        <v>134.6</v>
      </c>
      <c r="K193">
        <v>124.6</v>
      </c>
      <c r="L193">
        <v>116.1</v>
      </c>
      <c r="M193">
        <v>137.80000000000001</v>
      </c>
      <c r="N193">
        <v>129.1</v>
      </c>
      <c r="O193">
        <v>150.4</v>
      </c>
      <c r="P193">
        <v>137.19999999999999</v>
      </c>
      <c r="Q193">
        <v>156.30000000000001</v>
      </c>
      <c r="R193">
        <v>144.30000000000001</v>
      </c>
      <c r="S193">
        <v>136.19999999999999</v>
      </c>
      <c r="T193">
        <v>143.1</v>
      </c>
      <c r="U193">
        <v>142</v>
      </c>
      <c r="V193">
        <v>136.5</v>
      </c>
      <c r="W193">
        <v>135.6</v>
      </c>
      <c r="X193">
        <v>134.30000000000001</v>
      </c>
      <c r="Y193">
        <v>121</v>
      </c>
      <c r="Z193">
        <v>130.4</v>
      </c>
      <c r="AA193">
        <v>139.80000000000001</v>
      </c>
      <c r="AB193">
        <v>128.19999999999999</v>
      </c>
      <c r="AC193">
        <v>130.30000000000001</v>
      </c>
      <c r="AD193">
        <v>136.5</v>
      </c>
    </row>
    <row r="194" spans="1:30" hidden="1" x14ac:dyDescent="0.3">
      <c r="A194" t="s">
        <v>30</v>
      </c>
      <c r="B194">
        <v>2018</v>
      </c>
      <c r="C194" t="s">
        <v>37</v>
      </c>
      <c r="D194">
        <v>137.1</v>
      </c>
      <c r="E194">
        <v>144.5</v>
      </c>
      <c r="F194">
        <v>135.9</v>
      </c>
      <c r="G194">
        <v>142.4</v>
      </c>
      <c r="H194">
        <v>123.5</v>
      </c>
      <c r="I194">
        <v>156.4</v>
      </c>
      <c r="J194">
        <v>135.1</v>
      </c>
      <c r="K194">
        <v>128.4</v>
      </c>
      <c r="L194">
        <v>115.2</v>
      </c>
      <c r="M194">
        <v>137.19999999999999</v>
      </c>
      <c r="N194">
        <v>131.9</v>
      </c>
      <c r="O194">
        <v>153.80000000000001</v>
      </c>
      <c r="P194">
        <v>138.6</v>
      </c>
      <c r="Q194">
        <v>156.1</v>
      </c>
      <c r="R194">
        <v>150.1</v>
      </c>
      <c r="S194">
        <v>143.30000000000001</v>
      </c>
      <c r="T194">
        <v>149.1</v>
      </c>
      <c r="U194" t="s">
        <v>32</v>
      </c>
      <c r="V194">
        <v>143.80000000000001</v>
      </c>
      <c r="W194">
        <v>140.9</v>
      </c>
      <c r="X194">
        <v>137.6</v>
      </c>
      <c r="Y194">
        <v>125.3</v>
      </c>
      <c r="Z194">
        <v>136</v>
      </c>
      <c r="AA194">
        <v>143.69999999999999</v>
      </c>
      <c r="AB194">
        <v>130.4</v>
      </c>
      <c r="AC194">
        <v>134.19999999999999</v>
      </c>
      <c r="AD194">
        <v>139.1</v>
      </c>
    </row>
    <row r="195" spans="1:30" hidden="1" x14ac:dyDescent="0.3">
      <c r="A195" t="s">
        <v>33</v>
      </c>
      <c r="B195">
        <v>2018</v>
      </c>
      <c r="C195" t="s">
        <v>37</v>
      </c>
      <c r="D195">
        <v>135</v>
      </c>
      <c r="E195">
        <v>144.30000000000001</v>
      </c>
      <c r="F195">
        <v>130.80000000000001</v>
      </c>
      <c r="G195">
        <v>140.30000000000001</v>
      </c>
      <c r="H195">
        <v>116.6</v>
      </c>
      <c r="I195">
        <v>150.1</v>
      </c>
      <c r="J195">
        <v>127.6</v>
      </c>
      <c r="K195">
        <v>114</v>
      </c>
      <c r="L195">
        <v>110.6</v>
      </c>
      <c r="M195">
        <v>140.19999999999999</v>
      </c>
      <c r="N195">
        <v>126.5</v>
      </c>
      <c r="O195">
        <v>148.30000000000001</v>
      </c>
      <c r="P195">
        <v>135.69999999999999</v>
      </c>
      <c r="Q195">
        <v>159.19999999999999</v>
      </c>
      <c r="R195">
        <v>137.80000000000001</v>
      </c>
      <c r="S195">
        <v>127.4</v>
      </c>
      <c r="T195">
        <v>136.19999999999999</v>
      </c>
      <c r="U195">
        <v>142.9</v>
      </c>
      <c r="V195">
        <v>124.6</v>
      </c>
      <c r="W195">
        <v>131.80000000000001</v>
      </c>
      <c r="X195">
        <v>131.30000000000001</v>
      </c>
      <c r="Y195">
        <v>118.9</v>
      </c>
      <c r="Z195">
        <v>127.6</v>
      </c>
      <c r="AA195">
        <v>139.69999999999999</v>
      </c>
      <c r="AB195">
        <v>127.6</v>
      </c>
      <c r="AC195">
        <v>128.19999999999999</v>
      </c>
      <c r="AD195">
        <v>134.80000000000001</v>
      </c>
    </row>
    <row r="196" spans="1:30" hidden="1" x14ac:dyDescent="0.3">
      <c r="A196" t="s">
        <v>34</v>
      </c>
      <c r="B196">
        <v>2018</v>
      </c>
      <c r="C196" t="s">
        <v>37</v>
      </c>
      <c r="D196">
        <v>136.4</v>
      </c>
      <c r="E196">
        <v>144.4</v>
      </c>
      <c r="F196">
        <v>133.9</v>
      </c>
      <c r="G196">
        <v>141.6</v>
      </c>
      <c r="H196">
        <v>121</v>
      </c>
      <c r="I196">
        <v>153.5</v>
      </c>
      <c r="J196">
        <v>132.6</v>
      </c>
      <c r="K196">
        <v>123.5</v>
      </c>
      <c r="L196">
        <v>113.7</v>
      </c>
      <c r="M196">
        <v>138.19999999999999</v>
      </c>
      <c r="N196">
        <v>129.6</v>
      </c>
      <c r="O196">
        <v>151.19999999999999</v>
      </c>
      <c r="P196">
        <v>137.5</v>
      </c>
      <c r="Q196">
        <v>156.9</v>
      </c>
      <c r="R196">
        <v>145.30000000000001</v>
      </c>
      <c r="S196">
        <v>136.69999999999999</v>
      </c>
      <c r="T196">
        <v>144</v>
      </c>
      <c r="U196">
        <v>142.9</v>
      </c>
      <c r="V196">
        <v>136.5</v>
      </c>
      <c r="W196">
        <v>136.6</v>
      </c>
      <c r="X196">
        <v>135.19999999999999</v>
      </c>
      <c r="Y196">
        <v>121.9</v>
      </c>
      <c r="Z196">
        <v>131.30000000000001</v>
      </c>
      <c r="AA196">
        <v>141.4</v>
      </c>
      <c r="AB196">
        <v>129.19999999999999</v>
      </c>
      <c r="AC196">
        <v>131.30000000000001</v>
      </c>
      <c r="AD196">
        <v>137.1</v>
      </c>
    </row>
    <row r="197" spans="1:30" hidden="1" x14ac:dyDescent="0.3">
      <c r="A197" t="s">
        <v>30</v>
      </c>
      <c r="B197">
        <v>2018</v>
      </c>
      <c r="C197" t="s">
        <v>38</v>
      </c>
      <c r="D197">
        <v>137.4</v>
      </c>
      <c r="E197">
        <v>145.69999999999999</v>
      </c>
      <c r="F197">
        <v>135.5</v>
      </c>
      <c r="G197">
        <v>142.9</v>
      </c>
      <c r="H197">
        <v>123.6</v>
      </c>
      <c r="I197">
        <v>157.5</v>
      </c>
      <c r="J197">
        <v>137.80000000000001</v>
      </c>
      <c r="K197">
        <v>127.2</v>
      </c>
      <c r="L197">
        <v>111.8</v>
      </c>
      <c r="M197">
        <v>137.4</v>
      </c>
      <c r="N197">
        <v>132.19999999999999</v>
      </c>
      <c r="O197">
        <v>154.30000000000001</v>
      </c>
      <c r="P197">
        <v>139.1</v>
      </c>
      <c r="Q197">
        <v>157</v>
      </c>
      <c r="R197">
        <v>150.80000000000001</v>
      </c>
      <c r="S197">
        <v>144.1</v>
      </c>
      <c r="T197">
        <v>149.80000000000001</v>
      </c>
      <c r="U197" t="s">
        <v>32</v>
      </c>
      <c r="V197">
        <v>144.30000000000001</v>
      </c>
      <c r="W197">
        <v>141.80000000000001</v>
      </c>
      <c r="X197">
        <v>138.4</v>
      </c>
      <c r="Y197">
        <v>126.4</v>
      </c>
      <c r="Z197">
        <v>136.80000000000001</v>
      </c>
      <c r="AA197">
        <v>144.4</v>
      </c>
      <c r="AB197">
        <v>131.19999999999999</v>
      </c>
      <c r="AC197">
        <v>135.1</v>
      </c>
      <c r="AD197">
        <v>139.80000000000001</v>
      </c>
    </row>
    <row r="198" spans="1:30" hidden="1" x14ac:dyDescent="0.3">
      <c r="A198" t="s">
        <v>33</v>
      </c>
      <c r="B198">
        <v>2018</v>
      </c>
      <c r="C198" t="s">
        <v>38</v>
      </c>
      <c r="D198">
        <v>135</v>
      </c>
      <c r="E198">
        <v>148.19999999999999</v>
      </c>
      <c r="F198">
        <v>130.5</v>
      </c>
      <c r="G198">
        <v>140.69999999999999</v>
      </c>
      <c r="H198">
        <v>116.4</v>
      </c>
      <c r="I198">
        <v>151.30000000000001</v>
      </c>
      <c r="J198">
        <v>131.4</v>
      </c>
      <c r="K198">
        <v>112.8</v>
      </c>
      <c r="L198">
        <v>105.3</v>
      </c>
      <c r="M198">
        <v>139.6</v>
      </c>
      <c r="N198">
        <v>126.6</v>
      </c>
      <c r="O198">
        <v>148.69999999999999</v>
      </c>
      <c r="P198">
        <v>136.4</v>
      </c>
      <c r="Q198">
        <v>160.30000000000001</v>
      </c>
      <c r="R198">
        <v>138.6</v>
      </c>
      <c r="S198">
        <v>127.9</v>
      </c>
      <c r="T198">
        <v>137</v>
      </c>
      <c r="U198">
        <v>143.19999999999999</v>
      </c>
      <c r="V198">
        <v>124.7</v>
      </c>
      <c r="W198">
        <v>132.5</v>
      </c>
      <c r="X198">
        <v>132</v>
      </c>
      <c r="Y198">
        <v>119.8</v>
      </c>
      <c r="Z198">
        <v>128</v>
      </c>
      <c r="AA198">
        <v>140.4</v>
      </c>
      <c r="AB198">
        <v>128.1</v>
      </c>
      <c r="AC198">
        <v>128.9</v>
      </c>
      <c r="AD198">
        <v>135.4</v>
      </c>
    </row>
    <row r="199" spans="1:30" hidden="1" x14ac:dyDescent="0.3">
      <c r="A199" t="s">
        <v>34</v>
      </c>
      <c r="B199">
        <v>2018</v>
      </c>
      <c r="C199" t="s">
        <v>38</v>
      </c>
      <c r="D199">
        <v>136.6</v>
      </c>
      <c r="E199">
        <v>146.6</v>
      </c>
      <c r="F199">
        <v>133.6</v>
      </c>
      <c r="G199">
        <v>142.1</v>
      </c>
      <c r="H199">
        <v>121</v>
      </c>
      <c r="I199">
        <v>154.6</v>
      </c>
      <c r="J199">
        <v>135.6</v>
      </c>
      <c r="K199">
        <v>122.3</v>
      </c>
      <c r="L199">
        <v>109.6</v>
      </c>
      <c r="M199">
        <v>138.1</v>
      </c>
      <c r="N199">
        <v>129.9</v>
      </c>
      <c r="O199">
        <v>151.69999999999999</v>
      </c>
      <c r="P199">
        <v>138.1</v>
      </c>
      <c r="Q199">
        <v>157.9</v>
      </c>
      <c r="R199">
        <v>146</v>
      </c>
      <c r="S199">
        <v>137.4</v>
      </c>
      <c r="T199">
        <v>144.69999999999999</v>
      </c>
      <c r="U199">
        <v>143.19999999999999</v>
      </c>
      <c r="V199">
        <v>136.9</v>
      </c>
      <c r="W199">
        <v>137.4</v>
      </c>
      <c r="X199">
        <v>136</v>
      </c>
      <c r="Y199">
        <v>122.9</v>
      </c>
      <c r="Z199">
        <v>131.80000000000001</v>
      </c>
      <c r="AA199">
        <v>142.1</v>
      </c>
      <c r="AB199">
        <v>129.9</v>
      </c>
      <c r="AC199">
        <v>132.1</v>
      </c>
      <c r="AD199">
        <v>137.80000000000001</v>
      </c>
    </row>
    <row r="200" spans="1:30" hidden="1" x14ac:dyDescent="0.3">
      <c r="A200" t="s">
        <v>30</v>
      </c>
      <c r="B200">
        <v>2018</v>
      </c>
      <c r="C200" t="s">
        <v>39</v>
      </c>
      <c r="D200">
        <v>137.6</v>
      </c>
      <c r="E200">
        <v>148.1</v>
      </c>
      <c r="F200">
        <v>136.69999999999999</v>
      </c>
      <c r="G200">
        <v>143.19999999999999</v>
      </c>
      <c r="H200">
        <v>124</v>
      </c>
      <c r="I200">
        <v>154.1</v>
      </c>
      <c r="J200">
        <v>143.5</v>
      </c>
      <c r="K200">
        <v>126</v>
      </c>
      <c r="L200">
        <v>112.4</v>
      </c>
      <c r="M200">
        <v>137.6</v>
      </c>
      <c r="N200">
        <v>132.80000000000001</v>
      </c>
      <c r="O200">
        <v>154.30000000000001</v>
      </c>
      <c r="P200">
        <v>140</v>
      </c>
      <c r="Q200">
        <v>157.30000000000001</v>
      </c>
      <c r="R200">
        <v>151.30000000000001</v>
      </c>
      <c r="S200">
        <v>144.69999999999999</v>
      </c>
      <c r="T200">
        <v>150.30000000000001</v>
      </c>
      <c r="U200" t="s">
        <v>32</v>
      </c>
      <c r="V200">
        <v>145.1</v>
      </c>
      <c r="W200">
        <v>142.19999999999999</v>
      </c>
      <c r="X200">
        <v>138.4</v>
      </c>
      <c r="Y200">
        <v>127.4</v>
      </c>
      <c r="Z200">
        <v>137.80000000000001</v>
      </c>
      <c r="AA200">
        <v>145.1</v>
      </c>
      <c r="AB200">
        <v>131.4</v>
      </c>
      <c r="AC200">
        <v>135.6</v>
      </c>
      <c r="AD200">
        <v>140.5</v>
      </c>
    </row>
    <row r="201" spans="1:30" hidden="1" x14ac:dyDescent="0.3">
      <c r="A201" t="s">
        <v>33</v>
      </c>
      <c r="B201">
        <v>2018</v>
      </c>
      <c r="C201" t="s">
        <v>39</v>
      </c>
      <c r="D201">
        <v>135.30000000000001</v>
      </c>
      <c r="E201">
        <v>149.69999999999999</v>
      </c>
      <c r="F201">
        <v>133.9</v>
      </c>
      <c r="G201">
        <v>140.80000000000001</v>
      </c>
      <c r="H201">
        <v>116.6</v>
      </c>
      <c r="I201">
        <v>152.19999999999999</v>
      </c>
      <c r="J201">
        <v>144</v>
      </c>
      <c r="K201">
        <v>112.3</v>
      </c>
      <c r="L201">
        <v>108.4</v>
      </c>
      <c r="M201">
        <v>140</v>
      </c>
      <c r="N201">
        <v>126.7</v>
      </c>
      <c r="O201">
        <v>149</v>
      </c>
      <c r="P201">
        <v>138.4</v>
      </c>
      <c r="Q201">
        <v>161</v>
      </c>
      <c r="R201">
        <v>138.9</v>
      </c>
      <c r="S201">
        <v>128.69999999999999</v>
      </c>
      <c r="T201">
        <v>137.4</v>
      </c>
      <c r="U201">
        <v>142.5</v>
      </c>
      <c r="V201">
        <v>126.5</v>
      </c>
      <c r="W201">
        <v>133.1</v>
      </c>
      <c r="X201">
        <v>132.6</v>
      </c>
      <c r="Y201">
        <v>120.4</v>
      </c>
      <c r="Z201">
        <v>128.5</v>
      </c>
      <c r="AA201">
        <v>141.19999999999999</v>
      </c>
      <c r="AB201">
        <v>128.19999999999999</v>
      </c>
      <c r="AC201">
        <v>129.5</v>
      </c>
      <c r="AD201">
        <v>136.19999999999999</v>
      </c>
    </row>
    <row r="202" spans="1:30" hidden="1" x14ac:dyDescent="0.3">
      <c r="A202" t="s">
        <v>34</v>
      </c>
      <c r="B202">
        <v>2018</v>
      </c>
      <c r="C202" t="s">
        <v>39</v>
      </c>
      <c r="D202">
        <v>136.9</v>
      </c>
      <c r="E202">
        <v>148.69999999999999</v>
      </c>
      <c r="F202">
        <v>135.6</v>
      </c>
      <c r="G202">
        <v>142.30000000000001</v>
      </c>
      <c r="H202">
        <v>121.3</v>
      </c>
      <c r="I202">
        <v>153.19999999999999</v>
      </c>
      <c r="J202">
        <v>143.69999999999999</v>
      </c>
      <c r="K202">
        <v>121.4</v>
      </c>
      <c r="L202">
        <v>111.1</v>
      </c>
      <c r="M202">
        <v>138.4</v>
      </c>
      <c r="N202">
        <v>130.30000000000001</v>
      </c>
      <c r="O202">
        <v>151.80000000000001</v>
      </c>
      <c r="P202">
        <v>139.4</v>
      </c>
      <c r="Q202">
        <v>158.30000000000001</v>
      </c>
      <c r="R202">
        <v>146.4</v>
      </c>
      <c r="S202">
        <v>138.1</v>
      </c>
      <c r="T202">
        <v>145.19999999999999</v>
      </c>
      <c r="U202">
        <v>142.5</v>
      </c>
      <c r="V202">
        <v>138.1</v>
      </c>
      <c r="W202">
        <v>137.9</v>
      </c>
      <c r="X202">
        <v>136.19999999999999</v>
      </c>
      <c r="Y202">
        <v>123.7</v>
      </c>
      <c r="Z202">
        <v>132.6</v>
      </c>
      <c r="AA202">
        <v>142.80000000000001</v>
      </c>
      <c r="AB202">
        <v>130.1</v>
      </c>
      <c r="AC202">
        <v>132.6</v>
      </c>
      <c r="AD202">
        <v>138.5</v>
      </c>
    </row>
    <row r="203" spans="1:30" hidden="1" x14ac:dyDescent="0.3">
      <c r="A203" t="s">
        <v>30</v>
      </c>
      <c r="B203">
        <v>2018</v>
      </c>
      <c r="C203" t="s">
        <v>40</v>
      </c>
      <c r="D203">
        <v>138.4</v>
      </c>
      <c r="E203">
        <v>149.30000000000001</v>
      </c>
      <c r="F203">
        <v>139.30000000000001</v>
      </c>
      <c r="G203">
        <v>143.4</v>
      </c>
      <c r="H203">
        <v>124.1</v>
      </c>
      <c r="I203">
        <v>153.30000000000001</v>
      </c>
      <c r="J203">
        <v>154.19999999999999</v>
      </c>
      <c r="K203">
        <v>126.4</v>
      </c>
      <c r="L203">
        <v>114.3</v>
      </c>
      <c r="M203">
        <v>138.19999999999999</v>
      </c>
      <c r="N203">
        <v>132.80000000000001</v>
      </c>
      <c r="O203">
        <v>154.80000000000001</v>
      </c>
      <c r="P203">
        <v>142</v>
      </c>
      <c r="Q203">
        <v>156.1</v>
      </c>
      <c r="R203">
        <v>151.5</v>
      </c>
      <c r="S203">
        <v>145.1</v>
      </c>
      <c r="T203">
        <v>150.6</v>
      </c>
      <c r="U203" t="s">
        <v>32</v>
      </c>
      <c r="V203">
        <v>146.80000000000001</v>
      </c>
      <c r="W203">
        <v>143.1</v>
      </c>
      <c r="X203">
        <v>139</v>
      </c>
      <c r="Y203">
        <v>127.5</v>
      </c>
      <c r="Z203">
        <v>138.4</v>
      </c>
      <c r="AA203">
        <v>145.80000000000001</v>
      </c>
      <c r="AB203">
        <v>131.4</v>
      </c>
      <c r="AC203">
        <v>136</v>
      </c>
      <c r="AD203">
        <v>141.80000000000001</v>
      </c>
    </row>
    <row r="204" spans="1:30" hidden="1" x14ac:dyDescent="0.3">
      <c r="A204" t="s">
        <v>33</v>
      </c>
      <c r="B204">
        <v>2018</v>
      </c>
      <c r="C204" t="s">
        <v>40</v>
      </c>
      <c r="D204">
        <v>135.6</v>
      </c>
      <c r="E204">
        <v>148.6</v>
      </c>
      <c r="F204">
        <v>139.1</v>
      </c>
      <c r="G204">
        <v>141</v>
      </c>
      <c r="H204">
        <v>116.7</v>
      </c>
      <c r="I204">
        <v>149.69999999999999</v>
      </c>
      <c r="J204">
        <v>159.19999999999999</v>
      </c>
      <c r="K204">
        <v>112.6</v>
      </c>
      <c r="L204">
        <v>111.8</v>
      </c>
      <c r="M204">
        <v>140.30000000000001</v>
      </c>
      <c r="N204">
        <v>126.8</v>
      </c>
      <c r="O204">
        <v>149.4</v>
      </c>
      <c r="P204">
        <v>140.30000000000001</v>
      </c>
      <c r="Q204">
        <v>161.4</v>
      </c>
      <c r="R204">
        <v>139.6</v>
      </c>
      <c r="S204">
        <v>128.9</v>
      </c>
      <c r="T204">
        <v>137.9</v>
      </c>
      <c r="U204">
        <v>143.6</v>
      </c>
      <c r="V204">
        <v>128.1</v>
      </c>
      <c r="W204">
        <v>133.6</v>
      </c>
      <c r="X204">
        <v>133.6</v>
      </c>
      <c r="Y204">
        <v>120.1</v>
      </c>
      <c r="Z204">
        <v>129</v>
      </c>
      <c r="AA204">
        <v>144</v>
      </c>
      <c r="AB204">
        <v>128.19999999999999</v>
      </c>
      <c r="AC204">
        <v>130.19999999999999</v>
      </c>
      <c r="AD204">
        <v>137.5</v>
      </c>
    </row>
    <row r="205" spans="1:30" hidden="1" x14ac:dyDescent="0.3">
      <c r="A205" t="s">
        <v>34</v>
      </c>
      <c r="B205">
        <v>2018</v>
      </c>
      <c r="C205" t="s">
        <v>40</v>
      </c>
      <c r="D205">
        <v>137.5</v>
      </c>
      <c r="E205">
        <v>149.1</v>
      </c>
      <c r="F205">
        <v>139.19999999999999</v>
      </c>
      <c r="G205">
        <v>142.5</v>
      </c>
      <c r="H205">
        <v>121.4</v>
      </c>
      <c r="I205">
        <v>151.6</v>
      </c>
      <c r="J205">
        <v>155.9</v>
      </c>
      <c r="K205">
        <v>121.7</v>
      </c>
      <c r="L205">
        <v>113.5</v>
      </c>
      <c r="M205">
        <v>138.9</v>
      </c>
      <c r="N205">
        <v>130.30000000000001</v>
      </c>
      <c r="O205">
        <v>152.30000000000001</v>
      </c>
      <c r="P205">
        <v>141.4</v>
      </c>
      <c r="Q205">
        <v>157.5</v>
      </c>
      <c r="R205">
        <v>146.80000000000001</v>
      </c>
      <c r="S205">
        <v>138.4</v>
      </c>
      <c r="T205">
        <v>145.6</v>
      </c>
      <c r="U205">
        <v>143.6</v>
      </c>
      <c r="V205">
        <v>139.69999999999999</v>
      </c>
      <c r="W205">
        <v>138.6</v>
      </c>
      <c r="X205">
        <v>137</v>
      </c>
      <c r="Y205">
        <v>123.6</v>
      </c>
      <c r="Z205">
        <v>133.1</v>
      </c>
      <c r="AA205">
        <v>144.69999999999999</v>
      </c>
      <c r="AB205">
        <v>130.1</v>
      </c>
      <c r="AC205">
        <v>133.19999999999999</v>
      </c>
      <c r="AD205">
        <v>139.80000000000001</v>
      </c>
    </row>
    <row r="206" spans="1:30" hidden="1" x14ac:dyDescent="0.3">
      <c r="A206" t="s">
        <v>30</v>
      </c>
      <c r="B206">
        <v>2018</v>
      </c>
      <c r="C206" t="s">
        <v>41</v>
      </c>
      <c r="D206">
        <v>139.19999999999999</v>
      </c>
      <c r="E206">
        <v>148.80000000000001</v>
      </c>
      <c r="F206">
        <v>139.1</v>
      </c>
      <c r="G206">
        <v>143.5</v>
      </c>
      <c r="H206">
        <v>125</v>
      </c>
      <c r="I206">
        <v>154.4</v>
      </c>
      <c r="J206">
        <v>156.30000000000001</v>
      </c>
      <c r="K206">
        <v>126.8</v>
      </c>
      <c r="L206">
        <v>115.4</v>
      </c>
      <c r="M206">
        <v>138.6</v>
      </c>
      <c r="N206">
        <v>133.80000000000001</v>
      </c>
      <c r="O206">
        <v>155.19999999999999</v>
      </c>
      <c r="P206">
        <v>142.69999999999999</v>
      </c>
      <c r="Q206">
        <v>156.4</v>
      </c>
      <c r="R206">
        <v>152.1</v>
      </c>
      <c r="S206">
        <v>145.80000000000001</v>
      </c>
      <c r="T206">
        <v>151.30000000000001</v>
      </c>
      <c r="U206" t="s">
        <v>32</v>
      </c>
      <c r="V206">
        <v>147.69999999999999</v>
      </c>
      <c r="W206">
        <v>143.80000000000001</v>
      </c>
      <c r="X206">
        <v>139.4</v>
      </c>
      <c r="Y206">
        <v>128.30000000000001</v>
      </c>
      <c r="Z206">
        <v>138.6</v>
      </c>
      <c r="AA206">
        <v>146.9</v>
      </c>
      <c r="AB206">
        <v>131.30000000000001</v>
      </c>
      <c r="AC206">
        <v>136.6</v>
      </c>
      <c r="AD206">
        <v>142.5</v>
      </c>
    </row>
    <row r="207" spans="1:30" hidden="1" x14ac:dyDescent="0.3">
      <c r="A207" t="s">
        <v>33</v>
      </c>
      <c r="B207">
        <v>2018</v>
      </c>
      <c r="C207" t="s">
        <v>41</v>
      </c>
      <c r="D207">
        <v>136.5</v>
      </c>
      <c r="E207">
        <v>146.4</v>
      </c>
      <c r="F207">
        <v>136.6</v>
      </c>
      <c r="G207">
        <v>141.19999999999999</v>
      </c>
      <c r="H207">
        <v>117.4</v>
      </c>
      <c r="I207">
        <v>146.30000000000001</v>
      </c>
      <c r="J207">
        <v>157.30000000000001</v>
      </c>
      <c r="K207">
        <v>113.6</v>
      </c>
      <c r="L207">
        <v>113.3</v>
      </c>
      <c r="M207">
        <v>141.1</v>
      </c>
      <c r="N207">
        <v>127.4</v>
      </c>
      <c r="O207">
        <v>150.4</v>
      </c>
      <c r="P207">
        <v>140.1</v>
      </c>
      <c r="Q207">
        <v>162.1</v>
      </c>
      <c r="R207">
        <v>140</v>
      </c>
      <c r="S207">
        <v>129</v>
      </c>
      <c r="T207">
        <v>138.30000000000001</v>
      </c>
      <c r="U207">
        <v>144.6</v>
      </c>
      <c r="V207">
        <v>129.80000000000001</v>
      </c>
      <c r="W207">
        <v>134.4</v>
      </c>
      <c r="X207">
        <v>134.9</v>
      </c>
      <c r="Y207">
        <v>120.7</v>
      </c>
      <c r="Z207">
        <v>129.80000000000001</v>
      </c>
      <c r="AA207">
        <v>145.30000000000001</v>
      </c>
      <c r="AB207">
        <v>128.30000000000001</v>
      </c>
      <c r="AC207">
        <v>131</v>
      </c>
      <c r="AD207">
        <v>138</v>
      </c>
    </row>
    <row r="208" spans="1:30" hidden="1" x14ac:dyDescent="0.3">
      <c r="A208" t="s">
        <v>34</v>
      </c>
      <c r="B208">
        <v>2018</v>
      </c>
      <c r="C208" t="s">
        <v>41</v>
      </c>
      <c r="D208">
        <v>138.30000000000001</v>
      </c>
      <c r="E208">
        <v>148</v>
      </c>
      <c r="F208">
        <v>138.1</v>
      </c>
      <c r="G208">
        <v>142.6</v>
      </c>
      <c r="H208">
        <v>122.2</v>
      </c>
      <c r="I208">
        <v>150.6</v>
      </c>
      <c r="J208">
        <v>156.6</v>
      </c>
      <c r="K208">
        <v>122.4</v>
      </c>
      <c r="L208">
        <v>114.7</v>
      </c>
      <c r="M208">
        <v>139.4</v>
      </c>
      <c r="N208">
        <v>131.1</v>
      </c>
      <c r="O208">
        <v>153</v>
      </c>
      <c r="P208">
        <v>141.69999999999999</v>
      </c>
      <c r="Q208">
        <v>157.9</v>
      </c>
      <c r="R208">
        <v>147.30000000000001</v>
      </c>
      <c r="S208">
        <v>138.80000000000001</v>
      </c>
      <c r="T208">
        <v>146.1</v>
      </c>
      <c r="U208">
        <v>144.6</v>
      </c>
      <c r="V208">
        <v>140.9</v>
      </c>
      <c r="W208">
        <v>139.4</v>
      </c>
      <c r="X208">
        <v>137.69999999999999</v>
      </c>
      <c r="Y208">
        <v>124.3</v>
      </c>
      <c r="Z208">
        <v>133.6</v>
      </c>
      <c r="AA208">
        <v>146</v>
      </c>
      <c r="AB208">
        <v>130.1</v>
      </c>
      <c r="AC208">
        <v>133.9</v>
      </c>
      <c r="AD208">
        <v>140.4</v>
      </c>
    </row>
    <row r="209" spans="1:30" hidden="1" x14ac:dyDescent="0.3">
      <c r="A209" t="s">
        <v>30</v>
      </c>
      <c r="B209">
        <v>2018</v>
      </c>
      <c r="C209" t="s">
        <v>42</v>
      </c>
      <c r="D209">
        <v>139.4</v>
      </c>
      <c r="E209">
        <v>147.19999999999999</v>
      </c>
      <c r="F209">
        <v>136.6</v>
      </c>
      <c r="G209">
        <v>143.69999999999999</v>
      </c>
      <c r="H209">
        <v>124.6</v>
      </c>
      <c r="I209">
        <v>150.1</v>
      </c>
      <c r="J209">
        <v>149.4</v>
      </c>
      <c r="K209">
        <v>125.4</v>
      </c>
      <c r="L209">
        <v>114.4</v>
      </c>
      <c r="M209">
        <v>138.69999999999999</v>
      </c>
      <c r="N209">
        <v>133.1</v>
      </c>
      <c r="O209">
        <v>155.9</v>
      </c>
      <c r="P209">
        <v>141.30000000000001</v>
      </c>
      <c r="Q209">
        <v>157.69999999999999</v>
      </c>
      <c r="R209">
        <v>152.1</v>
      </c>
      <c r="S209">
        <v>146.1</v>
      </c>
      <c r="T209">
        <v>151.30000000000001</v>
      </c>
      <c r="U209" t="s">
        <v>32</v>
      </c>
      <c r="V209">
        <v>149</v>
      </c>
      <c r="W209">
        <v>144</v>
      </c>
      <c r="X209">
        <v>140</v>
      </c>
      <c r="Y209">
        <v>129.9</v>
      </c>
      <c r="Z209">
        <v>140</v>
      </c>
      <c r="AA209">
        <v>147.6</v>
      </c>
      <c r="AB209">
        <v>132</v>
      </c>
      <c r="AC209">
        <v>137.4</v>
      </c>
      <c r="AD209">
        <v>142.1</v>
      </c>
    </row>
    <row r="210" spans="1:30" hidden="1" x14ac:dyDescent="0.3">
      <c r="A210" t="s">
        <v>33</v>
      </c>
      <c r="B210">
        <v>2018</v>
      </c>
      <c r="C210" t="s">
        <v>42</v>
      </c>
      <c r="D210">
        <v>137</v>
      </c>
      <c r="E210">
        <v>143.1</v>
      </c>
      <c r="F210">
        <v>132.80000000000001</v>
      </c>
      <c r="G210">
        <v>141.5</v>
      </c>
      <c r="H210">
        <v>117.8</v>
      </c>
      <c r="I210">
        <v>140</v>
      </c>
      <c r="J210">
        <v>151.30000000000001</v>
      </c>
      <c r="K210">
        <v>113.5</v>
      </c>
      <c r="L210">
        <v>112.3</v>
      </c>
      <c r="M210">
        <v>141.19999999999999</v>
      </c>
      <c r="N210">
        <v>127.7</v>
      </c>
      <c r="O210">
        <v>151.30000000000001</v>
      </c>
      <c r="P210">
        <v>138.9</v>
      </c>
      <c r="Q210">
        <v>163.30000000000001</v>
      </c>
      <c r="R210">
        <v>140.80000000000001</v>
      </c>
      <c r="S210">
        <v>129.30000000000001</v>
      </c>
      <c r="T210">
        <v>139.1</v>
      </c>
      <c r="U210">
        <v>145.30000000000001</v>
      </c>
      <c r="V210">
        <v>131.19999999999999</v>
      </c>
      <c r="W210">
        <v>134.9</v>
      </c>
      <c r="X210">
        <v>135.69999999999999</v>
      </c>
      <c r="Y210">
        <v>122.5</v>
      </c>
      <c r="Z210">
        <v>130.19999999999999</v>
      </c>
      <c r="AA210">
        <v>145.19999999999999</v>
      </c>
      <c r="AB210">
        <v>129.30000000000001</v>
      </c>
      <c r="AC210">
        <v>131.9</v>
      </c>
      <c r="AD210">
        <v>138.1</v>
      </c>
    </row>
    <row r="211" spans="1:30" hidden="1" x14ac:dyDescent="0.3">
      <c r="A211" t="s">
        <v>34</v>
      </c>
      <c r="B211">
        <v>2018</v>
      </c>
      <c r="C211" t="s">
        <v>42</v>
      </c>
      <c r="D211">
        <v>138.6</v>
      </c>
      <c r="E211">
        <v>145.80000000000001</v>
      </c>
      <c r="F211">
        <v>135.1</v>
      </c>
      <c r="G211">
        <v>142.9</v>
      </c>
      <c r="H211">
        <v>122.1</v>
      </c>
      <c r="I211">
        <v>145.4</v>
      </c>
      <c r="J211">
        <v>150</v>
      </c>
      <c r="K211">
        <v>121.4</v>
      </c>
      <c r="L211">
        <v>113.7</v>
      </c>
      <c r="M211">
        <v>139.5</v>
      </c>
      <c r="N211">
        <v>130.80000000000001</v>
      </c>
      <c r="O211">
        <v>153.80000000000001</v>
      </c>
      <c r="P211">
        <v>140.4</v>
      </c>
      <c r="Q211">
        <v>159.19999999999999</v>
      </c>
      <c r="R211">
        <v>147.69999999999999</v>
      </c>
      <c r="S211">
        <v>139.1</v>
      </c>
      <c r="T211">
        <v>146.5</v>
      </c>
      <c r="U211">
        <v>145.30000000000001</v>
      </c>
      <c r="V211">
        <v>142.30000000000001</v>
      </c>
      <c r="W211">
        <v>139.69999999999999</v>
      </c>
      <c r="X211">
        <v>138.4</v>
      </c>
      <c r="Y211">
        <v>126</v>
      </c>
      <c r="Z211">
        <v>134.5</v>
      </c>
      <c r="AA211">
        <v>146.19999999999999</v>
      </c>
      <c r="AB211">
        <v>130.9</v>
      </c>
      <c r="AC211">
        <v>134.69999999999999</v>
      </c>
      <c r="AD211">
        <v>140.19999999999999</v>
      </c>
    </row>
    <row r="212" spans="1:30" hidden="1" x14ac:dyDescent="0.3">
      <c r="A212" t="s">
        <v>30</v>
      </c>
      <c r="B212">
        <v>2018</v>
      </c>
      <c r="C212" t="s">
        <v>43</v>
      </c>
      <c r="D212">
        <v>139.30000000000001</v>
      </c>
      <c r="E212">
        <v>147.6</v>
      </c>
      <c r="F212">
        <v>134.6</v>
      </c>
      <c r="G212">
        <v>141.9</v>
      </c>
      <c r="H212">
        <v>123.5</v>
      </c>
      <c r="I212">
        <v>144.5</v>
      </c>
      <c r="J212">
        <v>147.6</v>
      </c>
      <c r="K212">
        <v>121.4</v>
      </c>
      <c r="L212">
        <v>112.3</v>
      </c>
      <c r="M212">
        <v>139.5</v>
      </c>
      <c r="N212">
        <v>134.6</v>
      </c>
      <c r="O212">
        <v>155.19999999999999</v>
      </c>
      <c r="P212">
        <v>140.19999999999999</v>
      </c>
      <c r="Q212">
        <v>159.6</v>
      </c>
      <c r="R212">
        <v>150.69999999999999</v>
      </c>
      <c r="S212">
        <v>144.5</v>
      </c>
      <c r="T212">
        <v>149.80000000000001</v>
      </c>
      <c r="U212" t="s">
        <v>32</v>
      </c>
      <c r="V212">
        <v>149.69999999999999</v>
      </c>
      <c r="W212">
        <v>147.5</v>
      </c>
      <c r="X212">
        <v>144.80000000000001</v>
      </c>
      <c r="Y212">
        <v>130.80000000000001</v>
      </c>
      <c r="Z212">
        <v>140.1</v>
      </c>
      <c r="AA212">
        <v>148</v>
      </c>
      <c r="AB212">
        <v>134.4</v>
      </c>
      <c r="AC212">
        <v>139.80000000000001</v>
      </c>
      <c r="AD212">
        <v>142.19999999999999</v>
      </c>
    </row>
    <row r="213" spans="1:30" hidden="1" x14ac:dyDescent="0.3">
      <c r="A213" t="s">
        <v>33</v>
      </c>
      <c r="B213">
        <v>2018</v>
      </c>
      <c r="C213" t="s">
        <v>43</v>
      </c>
      <c r="D213">
        <v>137.6</v>
      </c>
      <c r="E213">
        <v>144.9</v>
      </c>
      <c r="F213">
        <v>133.5</v>
      </c>
      <c r="G213">
        <v>141.5</v>
      </c>
      <c r="H213">
        <v>118</v>
      </c>
      <c r="I213">
        <v>139.5</v>
      </c>
      <c r="J213">
        <v>153</v>
      </c>
      <c r="K213">
        <v>113.2</v>
      </c>
      <c r="L213">
        <v>112.8</v>
      </c>
      <c r="M213">
        <v>141.1</v>
      </c>
      <c r="N213">
        <v>127.6</v>
      </c>
      <c r="O213">
        <v>152</v>
      </c>
      <c r="P213">
        <v>139.4</v>
      </c>
      <c r="Q213">
        <v>164</v>
      </c>
      <c r="R213">
        <v>141.5</v>
      </c>
      <c r="S213">
        <v>129.80000000000001</v>
      </c>
      <c r="T213">
        <v>139.69999999999999</v>
      </c>
      <c r="U213">
        <v>146.30000000000001</v>
      </c>
      <c r="V213">
        <v>133.4</v>
      </c>
      <c r="W213">
        <v>135.1</v>
      </c>
      <c r="X213">
        <v>136.19999999999999</v>
      </c>
      <c r="Y213">
        <v>123.3</v>
      </c>
      <c r="Z213">
        <v>130.69999999999999</v>
      </c>
      <c r="AA213">
        <v>145.5</v>
      </c>
      <c r="AB213">
        <v>130.4</v>
      </c>
      <c r="AC213">
        <v>132.5</v>
      </c>
      <c r="AD213">
        <v>138.9</v>
      </c>
    </row>
    <row r="214" spans="1:30" hidden="1" x14ac:dyDescent="0.3">
      <c r="A214" t="s">
        <v>34</v>
      </c>
      <c r="B214">
        <v>2018</v>
      </c>
      <c r="C214" t="s">
        <v>43</v>
      </c>
      <c r="D214">
        <v>137.4</v>
      </c>
      <c r="E214">
        <v>149.5</v>
      </c>
      <c r="F214">
        <v>137.30000000000001</v>
      </c>
      <c r="G214">
        <v>141.9</v>
      </c>
      <c r="H214">
        <v>121.1</v>
      </c>
      <c r="I214">
        <v>142.5</v>
      </c>
      <c r="J214">
        <v>146.69999999999999</v>
      </c>
      <c r="K214">
        <v>119.1</v>
      </c>
      <c r="L214">
        <v>111.9</v>
      </c>
      <c r="M214">
        <v>141</v>
      </c>
      <c r="N214">
        <v>133.6</v>
      </c>
      <c r="O214">
        <v>154.5</v>
      </c>
      <c r="P214">
        <v>139.69999999999999</v>
      </c>
      <c r="Q214">
        <v>162.6</v>
      </c>
      <c r="R214">
        <v>148</v>
      </c>
      <c r="S214">
        <v>139.19999999999999</v>
      </c>
      <c r="T214">
        <v>146.80000000000001</v>
      </c>
      <c r="U214">
        <v>146.9</v>
      </c>
      <c r="V214">
        <v>145.30000000000001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hidden="1" x14ac:dyDescent="0.3">
      <c r="A215" t="s">
        <v>30</v>
      </c>
      <c r="B215">
        <v>2018</v>
      </c>
      <c r="C215" t="s">
        <v>45</v>
      </c>
      <c r="D215">
        <v>137.1</v>
      </c>
      <c r="E215">
        <v>150.80000000000001</v>
      </c>
      <c r="F215">
        <v>136.69999999999999</v>
      </c>
      <c r="G215">
        <v>141.9</v>
      </c>
      <c r="H215">
        <v>122.8</v>
      </c>
      <c r="I215">
        <v>143.9</v>
      </c>
      <c r="J215">
        <v>147.5</v>
      </c>
      <c r="K215">
        <v>121</v>
      </c>
      <c r="L215">
        <v>111.6</v>
      </c>
      <c r="M215">
        <v>140.6</v>
      </c>
      <c r="N215">
        <v>137.5</v>
      </c>
      <c r="O215">
        <v>156.1</v>
      </c>
      <c r="P215">
        <v>140</v>
      </c>
      <c r="Q215">
        <v>161.9</v>
      </c>
      <c r="R215">
        <v>151.69999999999999</v>
      </c>
      <c r="S215">
        <v>145.5</v>
      </c>
      <c r="T215">
        <v>150.80000000000001</v>
      </c>
      <c r="U215" t="s">
        <v>32</v>
      </c>
      <c r="V215">
        <v>150.30000000000001</v>
      </c>
      <c r="W215">
        <v>148</v>
      </c>
      <c r="X215">
        <v>145.4</v>
      </c>
      <c r="Y215">
        <v>130.30000000000001</v>
      </c>
      <c r="Z215">
        <v>143.1</v>
      </c>
      <c r="AA215">
        <v>150.19999999999999</v>
      </c>
      <c r="AB215">
        <v>133.1</v>
      </c>
      <c r="AC215">
        <v>140.1</v>
      </c>
      <c r="AD215">
        <v>142.4</v>
      </c>
    </row>
    <row r="216" spans="1:30" hidden="1" x14ac:dyDescent="0.3">
      <c r="A216" t="s">
        <v>33</v>
      </c>
      <c r="B216">
        <v>2018</v>
      </c>
      <c r="C216" t="s">
        <v>45</v>
      </c>
      <c r="D216">
        <v>138.1</v>
      </c>
      <c r="E216">
        <v>146.30000000000001</v>
      </c>
      <c r="F216">
        <v>137.80000000000001</v>
      </c>
      <c r="G216">
        <v>141.6</v>
      </c>
      <c r="H216">
        <v>118.1</v>
      </c>
      <c r="I216">
        <v>141.5</v>
      </c>
      <c r="J216">
        <v>145.19999999999999</v>
      </c>
      <c r="K216">
        <v>115.3</v>
      </c>
      <c r="L216">
        <v>112.5</v>
      </c>
      <c r="M216">
        <v>141.4</v>
      </c>
      <c r="N216">
        <v>128</v>
      </c>
      <c r="O216">
        <v>152.6</v>
      </c>
      <c r="P216">
        <v>139.1</v>
      </c>
      <c r="Q216">
        <v>164.4</v>
      </c>
      <c r="R216">
        <v>142.4</v>
      </c>
      <c r="S216">
        <v>130.19999999999999</v>
      </c>
      <c r="T216">
        <v>140.5</v>
      </c>
      <c r="U216">
        <v>146.9</v>
      </c>
      <c r="V216">
        <v>136.69999999999999</v>
      </c>
      <c r="W216">
        <v>135.80000000000001</v>
      </c>
      <c r="X216">
        <v>136.80000000000001</v>
      </c>
      <c r="Y216">
        <v>121.2</v>
      </c>
      <c r="Z216">
        <v>131.30000000000001</v>
      </c>
      <c r="AA216">
        <v>146.1</v>
      </c>
      <c r="AB216">
        <v>130.5</v>
      </c>
      <c r="AC216">
        <v>132.19999999999999</v>
      </c>
      <c r="AD216">
        <v>139</v>
      </c>
    </row>
    <row r="217" spans="1:30" hidden="1" x14ac:dyDescent="0.3">
      <c r="A217" t="s">
        <v>34</v>
      </c>
      <c r="B217">
        <v>2018</v>
      </c>
      <c r="C217" t="s">
        <v>45</v>
      </c>
      <c r="D217">
        <v>137.4</v>
      </c>
      <c r="E217">
        <v>149.19999999999999</v>
      </c>
      <c r="F217">
        <v>137.1</v>
      </c>
      <c r="G217">
        <v>141.80000000000001</v>
      </c>
      <c r="H217">
        <v>121.1</v>
      </c>
      <c r="I217">
        <v>142.80000000000001</v>
      </c>
      <c r="J217">
        <v>146.69999999999999</v>
      </c>
      <c r="K217">
        <v>119.1</v>
      </c>
      <c r="L217">
        <v>111.9</v>
      </c>
      <c r="M217">
        <v>140.9</v>
      </c>
      <c r="N217">
        <v>133.5</v>
      </c>
      <c r="O217">
        <v>154.5</v>
      </c>
      <c r="P217">
        <v>139.69999999999999</v>
      </c>
      <c r="Q217">
        <v>162.6</v>
      </c>
      <c r="R217">
        <v>148</v>
      </c>
      <c r="S217">
        <v>139.1</v>
      </c>
      <c r="T217">
        <v>146.69999999999999</v>
      </c>
      <c r="U217">
        <v>146.9</v>
      </c>
      <c r="V217">
        <v>145.1</v>
      </c>
      <c r="W217">
        <v>142.19999999999999</v>
      </c>
      <c r="X217">
        <v>142.1</v>
      </c>
      <c r="Y217">
        <v>125.5</v>
      </c>
      <c r="Z217">
        <v>136.5</v>
      </c>
      <c r="AA217">
        <v>147.80000000000001</v>
      </c>
      <c r="AB217">
        <v>132</v>
      </c>
      <c r="AC217">
        <v>136.30000000000001</v>
      </c>
      <c r="AD217">
        <v>140.80000000000001</v>
      </c>
    </row>
    <row r="218" spans="1:30" hidden="1" x14ac:dyDescent="0.3">
      <c r="A218" t="s">
        <v>30</v>
      </c>
      <c r="B218">
        <v>2018</v>
      </c>
      <c r="C218" t="s">
        <v>46</v>
      </c>
      <c r="D218">
        <v>137.1</v>
      </c>
      <c r="E218">
        <v>151.9</v>
      </c>
      <c r="F218">
        <v>137.4</v>
      </c>
      <c r="G218">
        <v>142.4</v>
      </c>
      <c r="H218">
        <v>124.2</v>
      </c>
      <c r="I218">
        <v>140.19999999999999</v>
      </c>
      <c r="J218">
        <v>136.6</v>
      </c>
      <c r="K218">
        <v>120.9</v>
      </c>
      <c r="L218">
        <v>109.9</v>
      </c>
      <c r="M218">
        <v>140.19999999999999</v>
      </c>
      <c r="N218">
        <v>137.80000000000001</v>
      </c>
      <c r="O218">
        <v>156</v>
      </c>
      <c r="P218">
        <v>138.5</v>
      </c>
      <c r="Q218">
        <v>162.4</v>
      </c>
      <c r="R218">
        <v>151.6</v>
      </c>
      <c r="S218">
        <v>145.9</v>
      </c>
      <c r="T218">
        <v>150.80000000000001</v>
      </c>
      <c r="U218" t="s">
        <v>32</v>
      </c>
      <c r="V218">
        <v>149</v>
      </c>
      <c r="W218">
        <v>149.5</v>
      </c>
      <c r="X218">
        <v>149.6</v>
      </c>
      <c r="Y218">
        <v>128.9</v>
      </c>
      <c r="Z218">
        <v>143.30000000000001</v>
      </c>
      <c r="AA218">
        <v>155.1</v>
      </c>
      <c r="AB218">
        <v>133.19999999999999</v>
      </c>
      <c r="AC218">
        <v>141.6</v>
      </c>
      <c r="AD218">
        <v>141.9</v>
      </c>
    </row>
    <row r="219" spans="1:30" hidden="1" x14ac:dyDescent="0.3">
      <c r="A219" t="s">
        <v>33</v>
      </c>
      <c r="B219">
        <v>2018</v>
      </c>
      <c r="C219" t="s">
        <v>46</v>
      </c>
      <c r="D219">
        <v>138.5</v>
      </c>
      <c r="E219">
        <v>147.80000000000001</v>
      </c>
      <c r="F219">
        <v>141.1</v>
      </c>
      <c r="G219">
        <v>141.6</v>
      </c>
      <c r="H219">
        <v>118.1</v>
      </c>
      <c r="I219">
        <v>138.5</v>
      </c>
      <c r="J219">
        <v>132.4</v>
      </c>
      <c r="K219">
        <v>117.5</v>
      </c>
      <c r="L219">
        <v>111</v>
      </c>
      <c r="M219">
        <v>141.5</v>
      </c>
      <c r="N219">
        <v>128.1</v>
      </c>
      <c r="O219">
        <v>152.9</v>
      </c>
      <c r="P219">
        <v>137.6</v>
      </c>
      <c r="Q219">
        <v>164.6</v>
      </c>
      <c r="R219">
        <v>142.69999999999999</v>
      </c>
      <c r="S219">
        <v>130.30000000000001</v>
      </c>
      <c r="T219">
        <v>140.80000000000001</v>
      </c>
      <c r="U219">
        <v>146.5</v>
      </c>
      <c r="V219">
        <v>132.4</v>
      </c>
      <c r="W219">
        <v>136.19999999999999</v>
      </c>
      <c r="X219">
        <v>137.30000000000001</v>
      </c>
      <c r="Y219">
        <v>118.8</v>
      </c>
      <c r="Z219">
        <v>131.69999999999999</v>
      </c>
      <c r="AA219">
        <v>146.5</v>
      </c>
      <c r="AB219">
        <v>130.80000000000001</v>
      </c>
      <c r="AC219">
        <v>131.69999999999999</v>
      </c>
      <c r="AD219">
        <v>138</v>
      </c>
    </row>
    <row r="220" spans="1:30" hidden="1" x14ac:dyDescent="0.3">
      <c r="A220" t="s">
        <v>34</v>
      </c>
      <c r="B220">
        <v>2018</v>
      </c>
      <c r="C220" t="s">
        <v>46</v>
      </c>
      <c r="D220">
        <v>137.5</v>
      </c>
      <c r="E220">
        <v>150.5</v>
      </c>
      <c r="F220">
        <v>138.80000000000001</v>
      </c>
      <c r="G220">
        <v>142.1</v>
      </c>
      <c r="H220">
        <v>122</v>
      </c>
      <c r="I220">
        <v>139.4</v>
      </c>
      <c r="J220">
        <v>135.19999999999999</v>
      </c>
      <c r="K220">
        <v>119.8</v>
      </c>
      <c r="L220">
        <v>110.3</v>
      </c>
      <c r="M220">
        <v>140.6</v>
      </c>
      <c r="N220">
        <v>133.80000000000001</v>
      </c>
      <c r="O220">
        <v>154.6</v>
      </c>
      <c r="P220">
        <v>138.19999999999999</v>
      </c>
      <c r="Q220">
        <v>163</v>
      </c>
      <c r="R220">
        <v>148.1</v>
      </c>
      <c r="S220">
        <v>139.4</v>
      </c>
      <c r="T220">
        <v>146.80000000000001</v>
      </c>
      <c r="U220">
        <v>146.5</v>
      </c>
      <c r="V220">
        <v>142.69999999999999</v>
      </c>
      <c r="W220">
        <v>143.19999999999999</v>
      </c>
      <c r="X220">
        <v>144.9</v>
      </c>
      <c r="Y220">
        <v>123.6</v>
      </c>
      <c r="Z220">
        <v>136.80000000000001</v>
      </c>
      <c r="AA220">
        <v>150.1</v>
      </c>
      <c r="AB220">
        <v>132.19999999999999</v>
      </c>
      <c r="AC220">
        <v>136.80000000000001</v>
      </c>
      <c r="AD220">
        <v>140.1</v>
      </c>
    </row>
    <row r="221" spans="1:30" hidden="1" x14ac:dyDescent="0.3">
      <c r="A221" t="s">
        <v>30</v>
      </c>
      <c r="B221">
        <v>2019</v>
      </c>
      <c r="C221" t="s">
        <v>31</v>
      </c>
      <c r="D221">
        <v>136.6</v>
      </c>
      <c r="E221">
        <v>152.5</v>
      </c>
      <c r="F221">
        <v>138.19999999999999</v>
      </c>
      <c r="G221">
        <v>142.4</v>
      </c>
      <c r="H221">
        <v>123.9</v>
      </c>
      <c r="I221">
        <v>135.5</v>
      </c>
      <c r="J221">
        <v>131.69999999999999</v>
      </c>
      <c r="K221">
        <v>121.3</v>
      </c>
      <c r="L221">
        <v>108.4</v>
      </c>
      <c r="M221">
        <v>138.9</v>
      </c>
      <c r="N221">
        <v>137</v>
      </c>
      <c r="O221">
        <v>155.80000000000001</v>
      </c>
      <c r="P221">
        <v>137.4</v>
      </c>
      <c r="Q221">
        <v>162.69999999999999</v>
      </c>
      <c r="R221">
        <v>150.6</v>
      </c>
      <c r="S221">
        <v>145.1</v>
      </c>
      <c r="T221">
        <v>149.9</v>
      </c>
      <c r="U221" t="s">
        <v>32</v>
      </c>
      <c r="V221">
        <v>146.19999999999999</v>
      </c>
      <c r="W221">
        <v>150.1</v>
      </c>
      <c r="X221">
        <v>149.6</v>
      </c>
      <c r="Y221">
        <v>128.6</v>
      </c>
      <c r="Z221">
        <v>142.9</v>
      </c>
      <c r="AA221">
        <v>155.19999999999999</v>
      </c>
      <c r="AB221">
        <v>133.5</v>
      </c>
      <c r="AC221">
        <v>141.69999999999999</v>
      </c>
      <c r="AD221">
        <v>141</v>
      </c>
    </row>
    <row r="222" spans="1:30" hidden="1" x14ac:dyDescent="0.3">
      <c r="A222" t="s">
        <v>33</v>
      </c>
      <c r="B222">
        <v>2019</v>
      </c>
      <c r="C222" t="s">
        <v>31</v>
      </c>
      <c r="D222">
        <v>138.30000000000001</v>
      </c>
      <c r="E222">
        <v>149.4</v>
      </c>
      <c r="F222">
        <v>143.5</v>
      </c>
      <c r="G222">
        <v>141.69999999999999</v>
      </c>
      <c r="H222">
        <v>118.1</v>
      </c>
      <c r="I222">
        <v>135.19999999999999</v>
      </c>
      <c r="J222">
        <v>130.5</v>
      </c>
      <c r="K222">
        <v>118.2</v>
      </c>
      <c r="L222">
        <v>110.4</v>
      </c>
      <c r="M222">
        <v>140.4</v>
      </c>
      <c r="N222">
        <v>128.1</v>
      </c>
      <c r="O222">
        <v>153.19999999999999</v>
      </c>
      <c r="P222">
        <v>137.30000000000001</v>
      </c>
      <c r="Q222">
        <v>164.7</v>
      </c>
      <c r="R222">
        <v>143</v>
      </c>
      <c r="S222">
        <v>130.4</v>
      </c>
      <c r="T222">
        <v>141.1</v>
      </c>
      <c r="U222">
        <v>147.69999999999999</v>
      </c>
      <c r="V222">
        <v>128.6</v>
      </c>
      <c r="W222">
        <v>136.30000000000001</v>
      </c>
      <c r="X222">
        <v>137.80000000000001</v>
      </c>
      <c r="Y222">
        <v>118.6</v>
      </c>
      <c r="Z222">
        <v>131.9</v>
      </c>
      <c r="AA222">
        <v>146.6</v>
      </c>
      <c r="AB222">
        <v>131.69999999999999</v>
      </c>
      <c r="AC222">
        <v>131.80000000000001</v>
      </c>
      <c r="AD222">
        <v>138</v>
      </c>
    </row>
    <row r="223" spans="1:30" hidden="1" x14ac:dyDescent="0.3">
      <c r="A223" t="s">
        <v>34</v>
      </c>
      <c r="B223">
        <v>2019</v>
      </c>
      <c r="C223" t="s">
        <v>31</v>
      </c>
      <c r="D223">
        <v>137.1</v>
      </c>
      <c r="E223">
        <v>151.4</v>
      </c>
      <c r="F223">
        <v>140.19999999999999</v>
      </c>
      <c r="G223">
        <v>142.1</v>
      </c>
      <c r="H223">
        <v>121.8</v>
      </c>
      <c r="I223">
        <v>135.4</v>
      </c>
      <c r="J223">
        <v>131.30000000000001</v>
      </c>
      <c r="K223">
        <v>120.3</v>
      </c>
      <c r="L223">
        <v>109.1</v>
      </c>
      <c r="M223">
        <v>139.4</v>
      </c>
      <c r="N223">
        <v>133.30000000000001</v>
      </c>
      <c r="O223">
        <v>154.6</v>
      </c>
      <c r="P223">
        <v>137.4</v>
      </c>
      <c r="Q223">
        <v>163.19999999999999</v>
      </c>
      <c r="R223">
        <v>147.6</v>
      </c>
      <c r="S223">
        <v>139</v>
      </c>
      <c r="T223">
        <v>146.4</v>
      </c>
      <c r="U223">
        <v>147.69999999999999</v>
      </c>
      <c r="V223">
        <v>139.5</v>
      </c>
      <c r="W223">
        <v>143.6</v>
      </c>
      <c r="X223">
        <v>145.1</v>
      </c>
      <c r="Y223">
        <v>123.3</v>
      </c>
      <c r="Z223">
        <v>136.69999999999999</v>
      </c>
      <c r="AA223">
        <v>150.19999999999999</v>
      </c>
      <c r="AB223">
        <v>132.80000000000001</v>
      </c>
      <c r="AC223">
        <v>136.9</v>
      </c>
      <c r="AD223">
        <v>139.6</v>
      </c>
    </row>
    <row r="224" spans="1:30" hidden="1" x14ac:dyDescent="0.3">
      <c r="A224" t="s">
        <v>30</v>
      </c>
      <c r="B224">
        <v>2019</v>
      </c>
      <c r="C224" t="s">
        <v>35</v>
      </c>
      <c r="D224">
        <v>136.80000000000001</v>
      </c>
      <c r="E224">
        <v>153</v>
      </c>
      <c r="F224">
        <v>139.1</v>
      </c>
      <c r="G224">
        <v>142.5</v>
      </c>
      <c r="H224">
        <v>124.1</v>
      </c>
      <c r="I224">
        <v>135.80000000000001</v>
      </c>
      <c r="J224">
        <v>128.69999999999999</v>
      </c>
      <c r="K224">
        <v>121.5</v>
      </c>
      <c r="L224">
        <v>108.3</v>
      </c>
      <c r="M224">
        <v>139.19999999999999</v>
      </c>
      <c r="N224">
        <v>137.4</v>
      </c>
      <c r="O224">
        <v>156.19999999999999</v>
      </c>
      <c r="P224">
        <v>137.19999999999999</v>
      </c>
      <c r="Q224">
        <v>162.80000000000001</v>
      </c>
      <c r="R224">
        <v>150.5</v>
      </c>
      <c r="S224">
        <v>146.1</v>
      </c>
      <c r="T224">
        <v>149.9</v>
      </c>
      <c r="U224" t="s">
        <v>32</v>
      </c>
      <c r="V224">
        <v>145.30000000000001</v>
      </c>
      <c r="W224">
        <v>150.1</v>
      </c>
      <c r="X224">
        <v>149.9</v>
      </c>
      <c r="Y224">
        <v>129.19999999999999</v>
      </c>
      <c r="Z224">
        <v>143.4</v>
      </c>
      <c r="AA224">
        <v>155.5</v>
      </c>
      <c r="AB224">
        <v>134.9</v>
      </c>
      <c r="AC224">
        <v>142.19999999999999</v>
      </c>
      <c r="AD224">
        <v>141</v>
      </c>
    </row>
    <row r="225" spans="1:30" hidden="1" x14ac:dyDescent="0.3">
      <c r="A225" t="s">
        <v>33</v>
      </c>
      <c r="B225">
        <v>2019</v>
      </c>
      <c r="C225" t="s">
        <v>35</v>
      </c>
      <c r="D225">
        <v>139.4</v>
      </c>
      <c r="E225">
        <v>150.1</v>
      </c>
      <c r="F225">
        <v>145.30000000000001</v>
      </c>
      <c r="G225">
        <v>141.69999999999999</v>
      </c>
      <c r="H225">
        <v>118.4</v>
      </c>
      <c r="I225">
        <v>137</v>
      </c>
      <c r="J225">
        <v>131.6</v>
      </c>
      <c r="K225">
        <v>119.9</v>
      </c>
      <c r="L225">
        <v>110.4</v>
      </c>
      <c r="M225">
        <v>140.80000000000001</v>
      </c>
      <c r="N225">
        <v>128.30000000000001</v>
      </c>
      <c r="O225">
        <v>153.5</v>
      </c>
      <c r="P225">
        <v>138</v>
      </c>
      <c r="Q225">
        <v>164.9</v>
      </c>
      <c r="R225">
        <v>143.30000000000001</v>
      </c>
      <c r="S225">
        <v>130.80000000000001</v>
      </c>
      <c r="T225">
        <v>141.4</v>
      </c>
      <c r="U225">
        <v>148.5</v>
      </c>
      <c r="V225">
        <v>127.1</v>
      </c>
      <c r="W225">
        <v>136.6</v>
      </c>
      <c r="X225">
        <v>138.5</v>
      </c>
      <c r="Y225">
        <v>119.2</v>
      </c>
      <c r="Z225">
        <v>132.19999999999999</v>
      </c>
      <c r="AA225">
        <v>146.6</v>
      </c>
      <c r="AB225">
        <v>133</v>
      </c>
      <c r="AC225">
        <v>132.4</v>
      </c>
      <c r="AD225">
        <v>138.6</v>
      </c>
    </row>
    <row r="226" spans="1:30" hidden="1" x14ac:dyDescent="0.3">
      <c r="A226" t="s">
        <v>34</v>
      </c>
      <c r="B226">
        <v>2019</v>
      </c>
      <c r="C226" t="s">
        <v>35</v>
      </c>
      <c r="D226">
        <v>137.6</v>
      </c>
      <c r="E226">
        <v>152</v>
      </c>
      <c r="F226">
        <v>141.5</v>
      </c>
      <c r="G226">
        <v>142.19999999999999</v>
      </c>
      <c r="H226">
        <v>122</v>
      </c>
      <c r="I226">
        <v>136.4</v>
      </c>
      <c r="J226">
        <v>129.69999999999999</v>
      </c>
      <c r="K226">
        <v>121</v>
      </c>
      <c r="L226">
        <v>109</v>
      </c>
      <c r="M226">
        <v>139.69999999999999</v>
      </c>
      <c r="N226">
        <v>133.6</v>
      </c>
      <c r="O226">
        <v>154.9</v>
      </c>
      <c r="P226">
        <v>137.5</v>
      </c>
      <c r="Q226">
        <v>163.4</v>
      </c>
      <c r="R226">
        <v>147.69999999999999</v>
      </c>
      <c r="S226">
        <v>139.69999999999999</v>
      </c>
      <c r="T226">
        <v>146.5</v>
      </c>
      <c r="U226">
        <v>148.5</v>
      </c>
      <c r="V226">
        <v>138.4</v>
      </c>
      <c r="W226">
        <v>143.69999999999999</v>
      </c>
      <c r="X226">
        <v>145.6</v>
      </c>
      <c r="Y226">
        <v>123.9</v>
      </c>
      <c r="Z226">
        <v>137.1</v>
      </c>
      <c r="AA226">
        <v>150.30000000000001</v>
      </c>
      <c r="AB226">
        <v>134.1</v>
      </c>
      <c r="AC226">
        <v>137.4</v>
      </c>
      <c r="AD226">
        <v>139.9</v>
      </c>
    </row>
    <row r="227" spans="1:30" hidden="1" x14ac:dyDescent="0.3">
      <c r="A227" t="s">
        <v>30</v>
      </c>
      <c r="B227">
        <v>2019</v>
      </c>
      <c r="C227" t="s">
        <v>36</v>
      </c>
      <c r="D227">
        <v>136.9</v>
      </c>
      <c r="E227">
        <v>154.1</v>
      </c>
      <c r="F227">
        <v>138.69999999999999</v>
      </c>
      <c r="G227">
        <v>142.5</v>
      </c>
      <c r="H227">
        <v>124.1</v>
      </c>
      <c r="I227">
        <v>136.1</v>
      </c>
      <c r="J227">
        <v>128.19999999999999</v>
      </c>
      <c r="K227">
        <v>122.3</v>
      </c>
      <c r="L227">
        <v>108.3</v>
      </c>
      <c r="M227">
        <v>138.9</v>
      </c>
      <c r="N227">
        <v>137.4</v>
      </c>
      <c r="O227">
        <v>156.4</v>
      </c>
      <c r="P227">
        <v>137.30000000000001</v>
      </c>
      <c r="Q227">
        <v>162.9</v>
      </c>
      <c r="R227">
        <v>150.80000000000001</v>
      </c>
      <c r="S227">
        <v>146.1</v>
      </c>
      <c r="T227">
        <v>150.1</v>
      </c>
      <c r="U227" t="s">
        <v>32</v>
      </c>
      <c r="V227">
        <v>146.4</v>
      </c>
      <c r="W227">
        <v>150</v>
      </c>
      <c r="X227">
        <v>150.4</v>
      </c>
      <c r="Y227">
        <v>129.9</v>
      </c>
      <c r="Z227">
        <v>143.80000000000001</v>
      </c>
      <c r="AA227">
        <v>155.5</v>
      </c>
      <c r="AB227">
        <v>134</v>
      </c>
      <c r="AC227">
        <v>142.4</v>
      </c>
      <c r="AD227">
        <v>141.19999999999999</v>
      </c>
    </row>
    <row r="228" spans="1:30" hidden="1" x14ac:dyDescent="0.3">
      <c r="A228" t="s">
        <v>33</v>
      </c>
      <c r="B228">
        <v>2019</v>
      </c>
      <c r="C228" t="s">
        <v>36</v>
      </c>
      <c r="D228">
        <v>139.69999999999999</v>
      </c>
      <c r="E228">
        <v>151.1</v>
      </c>
      <c r="F228">
        <v>142.9</v>
      </c>
      <c r="G228">
        <v>141.9</v>
      </c>
      <c r="H228">
        <v>118.4</v>
      </c>
      <c r="I228">
        <v>139.4</v>
      </c>
      <c r="J228">
        <v>141.19999999999999</v>
      </c>
      <c r="K228">
        <v>120.7</v>
      </c>
      <c r="L228">
        <v>110.4</v>
      </c>
      <c r="M228">
        <v>140.69999999999999</v>
      </c>
      <c r="N228">
        <v>128.5</v>
      </c>
      <c r="O228">
        <v>153.9</v>
      </c>
      <c r="P228">
        <v>139.6</v>
      </c>
      <c r="Q228">
        <v>165.3</v>
      </c>
      <c r="R228">
        <v>143.5</v>
      </c>
      <c r="S228">
        <v>131.19999999999999</v>
      </c>
      <c r="T228">
        <v>141.6</v>
      </c>
      <c r="U228">
        <v>149</v>
      </c>
      <c r="V228">
        <v>128.80000000000001</v>
      </c>
      <c r="W228">
        <v>136.80000000000001</v>
      </c>
      <c r="X228">
        <v>139.19999999999999</v>
      </c>
      <c r="Y228">
        <v>119.9</v>
      </c>
      <c r="Z228">
        <v>133</v>
      </c>
      <c r="AA228">
        <v>146.69999999999999</v>
      </c>
      <c r="AB228">
        <v>132.5</v>
      </c>
      <c r="AC228">
        <v>132.80000000000001</v>
      </c>
      <c r="AD228">
        <v>139.5</v>
      </c>
    </row>
    <row r="229" spans="1:30" hidden="1" x14ac:dyDescent="0.3">
      <c r="A229" t="s">
        <v>34</v>
      </c>
      <c r="B229">
        <v>2019</v>
      </c>
      <c r="C229" t="s">
        <v>36</v>
      </c>
      <c r="D229">
        <v>137.80000000000001</v>
      </c>
      <c r="E229">
        <v>153</v>
      </c>
      <c r="F229">
        <v>140.30000000000001</v>
      </c>
      <c r="G229">
        <v>142.30000000000001</v>
      </c>
      <c r="H229">
        <v>122</v>
      </c>
      <c r="I229">
        <v>137.6</v>
      </c>
      <c r="J229">
        <v>132.6</v>
      </c>
      <c r="K229">
        <v>121.8</v>
      </c>
      <c r="L229">
        <v>109</v>
      </c>
      <c r="M229">
        <v>139.5</v>
      </c>
      <c r="N229">
        <v>133.69999999999999</v>
      </c>
      <c r="O229">
        <v>155.19999999999999</v>
      </c>
      <c r="P229">
        <v>138.1</v>
      </c>
      <c r="Q229">
        <v>163.5</v>
      </c>
      <c r="R229">
        <v>147.9</v>
      </c>
      <c r="S229">
        <v>139.9</v>
      </c>
      <c r="T229">
        <v>146.69999999999999</v>
      </c>
      <c r="U229">
        <v>149</v>
      </c>
      <c r="V229">
        <v>139.69999999999999</v>
      </c>
      <c r="W229">
        <v>143.80000000000001</v>
      </c>
      <c r="X229">
        <v>146.19999999999999</v>
      </c>
      <c r="Y229">
        <v>124.6</v>
      </c>
      <c r="Z229">
        <v>137.69999999999999</v>
      </c>
      <c r="AA229">
        <v>150.30000000000001</v>
      </c>
      <c r="AB229">
        <v>133.4</v>
      </c>
      <c r="AC229">
        <v>137.69999999999999</v>
      </c>
      <c r="AD229">
        <v>140.4</v>
      </c>
    </row>
    <row r="230" spans="1:30" hidden="1" x14ac:dyDescent="0.3">
      <c r="A230" t="s">
        <v>30</v>
      </c>
      <c r="B230">
        <v>2019</v>
      </c>
      <c r="C230" t="s">
        <v>38</v>
      </c>
      <c r="D230">
        <v>137.4</v>
      </c>
      <c r="E230">
        <v>159.5</v>
      </c>
      <c r="F230">
        <v>134.5</v>
      </c>
      <c r="G230">
        <v>142.6</v>
      </c>
      <c r="H230">
        <v>124</v>
      </c>
      <c r="I230">
        <v>143.69999999999999</v>
      </c>
      <c r="J230">
        <v>133.4</v>
      </c>
      <c r="K230">
        <v>125.1</v>
      </c>
      <c r="L230">
        <v>109.3</v>
      </c>
      <c r="M230">
        <v>139.30000000000001</v>
      </c>
      <c r="N230">
        <v>137.69999999999999</v>
      </c>
      <c r="O230">
        <v>156.4</v>
      </c>
      <c r="P230">
        <v>139.19999999999999</v>
      </c>
      <c r="Q230">
        <v>163.30000000000001</v>
      </c>
      <c r="R230">
        <v>151.30000000000001</v>
      </c>
      <c r="S230">
        <v>146.6</v>
      </c>
      <c r="T230">
        <v>150.69999999999999</v>
      </c>
      <c r="U230" t="s">
        <v>32</v>
      </c>
      <c r="V230">
        <v>146.9</v>
      </c>
      <c r="W230">
        <v>149.5</v>
      </c>
      <c r="X230">
        <v>151.30000000000001</v>
      </c>
      <c r="Y230">
        <v>130.19999999999999</v>
      </c>
      <c r="Z230">
        <v>145.9</v>
      </c>
      <c r="AA230">
        <v>156.69999999999999</v>
      </c>
      <c r="AB230">
        <v>133.9</v>
      </c>
      <c r="AC230">
        <v>142.9</v>
      </c>
      <c r="AD230">
        <v>142.4</v>
      </c>
    </row>
    <row r="231" spans="1:30" hidden="1" x14ac:dyDescent="0.3">
      <c r="A231" t="s">
        <v>33</v>
      </c>
      <c r="B231">
        <v>2019</v>
      </c>
      <c r="C231" t="s">
        <v>38</v>
      </c>
      <c r="D231">
        <v>140.4</v>
      </c>
      <c r="E231">
        <v>156.69999999999999</v>
      </c>
      <c r="F231">
        <v>138.30000000000001</v>
      </c>
      <c r="G231">
        <v>142.4</v>
      </c>
      <c r="H231">
        <v>118.6</v>
      </c>
      <c r="I231">
        <v>149.69999999999999</v>
      </c>
      <c r="J231">
        <v>161.6</v>
      </c>
      <c r="K231">
        <v>124.4</v>
      </c>
      <c r="L231">
        <v>111.2</v>
      </c>
      <c r="M231">
        <v>141</v>
      </c>
      <c r="N231">
        <v>128.9</v>
      </c>
      <c r="O231">
        <v>154.5</v>
      </c>
      <c r="P231">
        <v>143.80000000000001</v>
      </c>
      <c r="Q231">
        <v>166.2</v>
      </c>
      <c r="R231">
        <v>144</v>
      </c>
      <c r="S231">
        <v>131.69999999999999</v>
      </c>
      <c r="T231">
        <v>142.19999999999999</v>
      </c>
      <c r="U231">
        <v>150.1</v>
      </c>
      <c r="V231">
        <v>129.4</v>
      </c>
      <c r="W231">
        <v>137.19999999999999</v>
      </c>
      <c r="X231">
        <v>139.80000000000001</v>
      </c>
      <c r="Y231">
        <v>120.1</v>
      </c>
      <c r="Z231">
        <v>134</v>
      </c>
      <c r="AA231">
        <v>148</v>
      </c>
      <c r="AB231">
        <v>132.6</v>
      </c>
      <c r="AC231">
        <v>133.30000000000001</v>
      </c>
      <c r="AD231">
        <v>141.5</v>
      </c>
    </row>
    <row r="232" spans="1:30" hidden="1" x14ac:dyDescent="0.3">
      <c r="A232" t="s">
        <v>34</v>
      </c>
      <c r="B232">
        <v>2019</v>
      </c>
      <c r="C232" t="s">
        <v>38</v>
      </c>
      <c r="D232">
        <v>138.30000000000001</v>
      </c>
      <c r="E232">
        <v>158.5</v>
      </c>
      <c r="F232">
        <v>136</v>
      </c>
      <c r="G232">
        <v>142.5</v>
      </c>
      <c r="H232">
        <v>122</v>
      </c>
      <c r="I232">
        <v>146.5</v>
      </c>
      <c r="J232">
        <v>143</v>
      </c>
      <c r="K232">
        <v>124.9</v>
      </c>
      <c r="L232">
        <v>109.9</v>
      </c>
      <c r="M232">
        <v>139.9</v>
      </c>
      <c r="N232">
        <v>134</v>
      </c>
      <c r="O232">
        <v>155.5</v>
      </c>
      <c r="P232">
        <v>140.9</v>
      </c>
      <c r="Q232">
        <v>164.1</v>
      </c>
      <c r="R232">
        <v>148.4</v>
      </c>
      <c r="S232">
        <v>140.4</v>
      </c>
      <c r="T232">
        <v>147.30000000000001</v>
      </c>
      <c r="U232">
        <v>150.1</v>
      </c>
      <c r="V232">
        <v>140.30000000000001</v>
      </c>
      <c r="W232">
        <v>143.69999999999999</v>
      </c>
      <c r="X232">
        <v>146.9</v>
      </c>
      <c r="Y232">
        <v>124.9</v>
      </c>
      <c r="Z232">
        <v>139.19999999999999</v>
      </c>
      <c r="AA232">
        <v>151.6</v>
      </c>
      <c r="AB232">
        <v>133.4</v>
      </c>
      <c r="AC232">
        <v>138.19999999999999</v>
      </c>
      <c r="AD232">
        <v>142</v>
      </c>
    </row>
    <row r="233" spans="1:30" hidden="1" x14ac:dyDescent="0.3">
      <c r="A233" t="s">
        <v>30</v>
      </c>
      <c r="B233">
        <v>2019</v>
      </c>
      <c r="C233" t="s">
        <v>39</v>
      </c>
      <c r="D233">
        <v>137.80000000000001</v>
      </c>
      <c r="E233">
        <v>163.5</v>
      </c>
      <c r="F233">
        <v>136.19999999999999</v>
      </c>
      <c r="G233">
        <v>143.19999999999999</v>
      </c>
      <c r="H233">
        <v>124.3</v>
      </c>
      <c r="I233">
        <v>143.30000000000001</v>
      </c>
      <c r="J233">
        <v>140.6</v>
      </c>
      <c r="K233">
        <v>128.69999999999999</v>
      </c>
      <c r="L233">
        <v>110.6</v>
      </c>
      <c r="M233">
        <v>140.4</v>
      </c>
      <c r="N233">
        <v>138</v>
      </c>
      <c r="O233">
        <v>156.6</v>
      </c>
      <c r="P233">
        <v>141</v>
      </c>
      <c r="Q233">
        <v>164.2</v>
      </c>
      <c r="R233">
        <v>151.4</v>
      </c>
      <c r="S233">
        <v>146.5</v>
      </c>
      <c r="T233">
        <v>150.69999999999999</v>
      </c>
      <c r="U233" t="s">
        <v>32</v>
      </c>
      <c r="V233">
        <v>147.80000000000001</v>
      </c>
      <c r="W233">
        <v>149.6</v>
      </c>
      <c r="X233">
        <v>151.69999999999999</v>
      </c>
      <c r="Y233">
        <v>130.19999999999999</v>
      </c>
      <c r="Z233">
        <v>146.4</v>
      </c>
      <c r="AA233">
        <v>157.69999999999999</v>
      </c>
      <c r="AB233">
        <v>134.80000000000001</v>
      </c>
      <c r="AC233">
        <v>143.30000000000001</v>
      </c>
      <c r="AD233">
        <v>143.6</v>
      </c>
    </row>
    <row r="234" spans="1:30" hidden="1" x14ac:dyDescent="0.3">
      <c r="A234" t="s">
        <v>33</v>
      </c>
      <c r="B234">
        <v>2019</v>
      </c>
      <c r="C234" t="s">
        <v>39</v>
      </c>
      <c r="D234">
        <v>140.69999999999999</v>
      </c>
      <c r="E234">
        <v>159.6</v>
      </c>
      <c r="F234">
        <v>140.4</v>
      </c>
      <c r="G234">
        <v>143.4</v>
      </c>
      <c r="H234">
        <v>118.6</v>
      </c>
      <c r="I234">
        <v>150.9</v>
      </c>
      <c r="J234">
        <v>169.8</v>
      </c>
      <c r="K234">
        <v>127.4</v>
      </c>
      <c r="L234">
        <v>111.8</v>
      </c>
      <c r="M234">
        <v>141</v>
      </c>
      <c r="N234">
        <v>129</v>
      </c>
      <c r="O234">
        <v>155.1</v>
      </c>
      <c r="P234">
        <v>145.6</v>
      </c>
      <c r="Q234">
        <v>166.7</v>
      </c>
      <c r="R234">
        <v>144.30000000000001</v>
      </c>
      <c r="S234">
        <v>131.69999999999999</v>
      </c>
      <c r="T234">
        <v>142.4</v>
      </c>
      <c r="U234">
        <v>149.4</v>
      </c>
      <c r="V234">
        <v>130.5</v>
      </c>
      <c r="W234">
        <v>137.4</v>
      </c>
      <c r="X234">
        <v>140.30000000000001</v>
      </c>
      <c r="Y234">
        <v>119.6</v>
      </c>
      <c r="Z234">
        <v>134.30000000000001</v>
      </c>
      <c r="AA234">
        <v>148.9</v>
      </c>
      <c r="AB234">
        <v>133.69999999999999</v>
      </c>
      <c r="AC234">
        <v>133.6</v>
      </c>
      <c r="AD234">
        <v>142.1</v>
      </c>
    </row>
    <row r="235" spans="1:30" hidden="1" x14ac:dyDescent="0.3">
      <c r="A235" t="s">
        <v>34</v>
      </c>
      <c r="B235">
        <v>2019</v>
      </c>
      <c r="C235" t="s">
        <v>39</v>
      </c>
      <c r="D235">
        <v>138.69999999999999</v>
      </c>
      <c r="E235">
        <v>162.1</v>
      </c>
      <c r="F235">
        <v>137.80000000000001</v>
      </c>
      <c r="G235">
        <v>143.30000000000001</v>
      </c>
      <c r="H235">
        <v>122.2</v>
      </c>
      <c r="I235">
        <v>146.80000000000001</v>
      </c>
      <c r="J235">
        <v>150.5</v>
      </c>
      <c r="K235">
        <v>128.30000000000001</v>
      </c>
      <c r="L235">
        <v>111</v>
      </c>
      <c r="M235">
        <v>140.6</v>
      </c>
      <c r="N235">
        <v>134.19999999999999</v>
      </c>
      <c r="O235">
        <v>155.9</v>
      </c>
      <c r="P235">
        <v>142.69999999999999</v>
      </c>
      <c r="Q235">
        <v>164.9</v>
      </c>
      <c r="R235">
        <v>148.6</v>
      </c>
      <c r="S235">
        <v>140.4</v>
      </c>
      <c r="T235">
        <v>147.4</v>
      </c>
      <c r="U235">
        <v>149.4</v>
      </c>
      <c r="V235">
        <v>141.19999999999999</v>
      </c>
      <c r="W235">
        <v>143.80000000000001</v>
      </c>
      <c r="X235">
        <v>147.4</v>
      </c>
      <c r="Y235">
        <v>124.6</v>
      </c>
      <c r="Z235">
        <v>139.6</v>
      </c>
      <c r="AA235">
        <v>152.5</v>
      </c>
      <c r="AB235">
        <v>134.30000000000001</v>
      </c>
      <c r="AC235">
        <v>138.6</v>
      </c>
      <c r="AD235">
        <v>142.9</v>
      </c>
    </row>
    <row r="236" spans="1:30" hidden="1" x14ac:dyDescent="0.3">
      <c r="A236" t="s">
        <v>30</v>
      </c>
      <c r="B236">
        <v>2019</v>
      </c>
      <c r="C236" t="s">
        <v>40</v>
      </c>
      <c r="D236">
        <v>138.4</v>
      </c>
      <c r="E236">
        <v>164</v>
      </c>
      <c r="F236">
        <v>138.4</v>
      </c>
      <c r="G236">
        <v>143.9</v>
      </c>
      <c r="H236">
        <v>124.4</v>
      </c>
      <c r="I236">
        <v>146.4</v>
      </c>
      <c r="J236">
        <v>150.1</v>
      </c>
      <c r="K236">
        <v>130.6</v>
      </c>
      <c r="L236">
        <v>110.8</v>
      </c>
      <c r="M236">
        <v>141.69999999999999</v>
      </c>
      <c r="N236">
        <v>138.5</v>
      </c>
      <c r="O236">
        <v>156.69999999999999</v>
      </c>
      <c r="P236">
        <v>143</v>
      </c>
      <c r="Q236">
        <v>164.5</v>
      </c>
      <c r="R236">
        <v>151.6</v>
      </c>
      <c r="S236">
        <v>146.6</v>
      </c>
      <c r="T236">
        <v>150.9</v>
      </c>
      <c r="U236" t="s">
        <v>32</v>
      </c>
      <c r="V236">
        <v>146.80000000000001</v>
      </c>
      <c r="W236">
        <v>150</v>
      </c>
      <c r="X236">
        <v>152.19999999999999</v>
      </c>
      <c r="Y236">
        <v>131.19999999999999</v>
      </c>
      <c r="Z236">
        <v>147.5</v>
      </c>
      <c r="AA236">
        <v>159.1</v>
      </c>
      <c r="AB236">
        <v>136.1</v>
      </c>
      <c r="AC236">
        <v>144.19999999999999</v>
      </c>
      <c r="AD236">
        <v>144.9</v>
      </c>
    </row>
    <row r="237" spans="1:30" hidden="1" x14ac:dyDescent="0.3">
      <c r="A237" t="s">
        <v>33</v>
      </c>
      <c r="B237">
        <v>2019</v>
      </c>
      <c r="C237" t="s">
        <v>40</v>
      </c>
      <c r="D237">
        <v>141.4</v>
      </c>
      <c r="E237">
        <v>160.19999999999999</v>
      </c>
      <c r="F237">
        <v>142.5</v>
      </c>
      <c r="G237">
        <v>144.1</v>
      </c>
      <c r="H237">
        <v>119.3</v>
      </c>
      <c r="I237">
        <v>154.69999999999999</v>
      </c>
      <c r="J237">
        <v>180.1</v>
      </c>
      <c r="K237">
        <v>128.9</v>
      </c>
      <c r="L237">
        <v>111.8</v>
      </c>
      <c r="M237">
        <v>141.6</v>
      </c>
      <c r="N237">
        <v>129.5</v>
      </c>
      <c r="O237">
        <v>155.6</v>
      </c>
      <c r="P237">
        <v>147.69999999999999</v>
      </c>
      <c r="Q237">
        <v>167.2</v>
      </c>
      <c r="R237">
        <v>144.69999999999999</v>
      </c>
      <c r="S237">
        <v>131.9</v>
      </c>
      <c r="T237">
        <v>142.69999999999999</v>
      </c>
      <c r="U237">
        <v>150.6</v>
      </c>
      <c r="V237">
        <v>127</v>
      </c>
      <c r="W237">
        <v>137.69999999999999</v>
      </c>
      <c r="X237">
        <v>140.80000000000001</v>
      </c>
      <c r="Y237">
        <v>120.6</v>
      </c>
      <c r="Z237">
        <v>135</v>
      </c>
      <c r="AA237">
        <v>150.4</v>
      </c>
      <c r="AB237">
        <v>135.1</v>
      </c>
      <c r="AC237">
        <v>134.5</v>
      </c>
      <c r="AD237">
        <v>143.30000000000001</v>
      </c>
    </row>
    <row r="238" spans="1:30" hidden="1" x14ac:dyDescent="0.3">
      <c r="A238" t="s">
        <v>34</v>
      </c>
      <c r="B238">
        <v>2019</v>
      </c>
      <c r="C238" t="s">
        <v>40</v>
      </c>
      <c r="D238">
        <v>139.30000000000001</v>
      </c>
      <c r="E238">
        <v>162.69999999999999</v>
      </c>
      <c r="F238">
        <v>140</v>
      </c>
      <c r="G238">
        <v>144</v>
      </c>
      <c r="H238">
        <v>122.5</v>
      </c>
      <c r="I238">
        <v>150.30000000000001</v>
      </c>
      <c r="J238">
        <v>160.30000000000001</v>
      </c>
      <c r="K238">
        <v>130</v>
      </c>
      <c r="L238">
        <v>111.1</v>
      </c>
      <c r="M238">
        <v>141.69999999999999</v>
      </c>
      <c r="N238">
        <v>134.69999999999999</v>
      </c>
      <c r="O238">
        <v>156.19999999999999</v>
      </c>
      <c r="P238">
        <v>144.69999999999999</v>
      </c>
      <c r="Q238">
        <v>165.2</v>
      </c>
      <c r="R238">
        <v>148.9</v>
      </c>
      <c r="S238">
        <v>140.5</v>
      </c>
      <c r="T238">
        <v>147.6</v>
      </c>
      <c r="U238">
        <v>150.6</v>
      </c>
      <c r="V238">
        <v>139.30000000000001</v>
      </c>
      <c r="W238">
        <v>144.19999999999999</v>
      </c>
      <c r="X238">
        <v>147.9</v>
      </c>
      <c r="Y238">
        <v>125.6</v>
      </c>
      <c r="Z238">
        <v>140.5</v>
      </c>
      <c r="AA238">
        <v>154</v>
      </c>
      <c r="AB238">
        <v>135.69999999999999</v>
      </c>
      <c r="AC238">
        <v>139.5</v>
      </c>
      <c r="AD238">
        <v>144.19999999999999</v>
      </c>
    </row>
    <row r="239" spans="1:30" hidden="1" x14ac:dyDescent="0.3">
      <c r="A239" t="s">
        <v>30</v>
      </c>
      <c r="B239">
        <v>2019</v>
      </c>
      <c r="C239" t="s">
        <v>41</v>
      </c>
      <c r="D239">
        <v>139.19999999999999</v>
      </c>
      <c r="E239">
        <v>161.9</v>
      </c>
      <c r="F239">
        <v>137.1</v>
      </c>
      <c r="G239">
        <v>144.6</v>
      </c>
      <c r="H239">
        <v>124.7</v>
      </c>
      <c r="I239">
        <v>145.5</v>
      </c>
      <c r="J239">
        <v>156.19999999999999</v>
      </c>
      <c r="K239">
        <v>131.5</v>
      </c>
      <c r="L239">
        <v>111.7</v>
      </c>
      <c r="M239">
        <v>142.69999999999999</v>
      </c>
      <c r="N239">
        <v>138.5</v>
      </c>
      <c r="O239">
        <v>156.9</v>
      </c>
      <c r="P239">
        <v>144</v>
      </c>
      <c r="Q239">
        <v>165.1</v>
      </c>
      <c r="R239">
        <v>151.80000000000001</v>
      </c>
      <c r="S239">
        <v>146.6</v>
      </c>
      <c r="T239">
        <v>151.1</v>
      </c>
      <c r="U239" t="s">
        <v>32</v>
      </c>
      <c r="V239">
        <v>146.4</v>
      </c>
      <c r="W239">
        <v>150.19999999999999</v>
      </c>
      <c r="X239">
        <v>152.69999999999999</v>
      </c>
      <c r="Y239">
        <v>131.4</v>
      </c>
      <c r="Z239">
        <v>148</v>
      </c>
      <c r="AA239">
        <v>159.69999999999999</v>
      </c>
      <c r="AB239">
        <v>138.80000000000001</v>
      </c>
      <c r="AC239">
        <v>144.9</v>
      </c>
      <c r="AD239">
        <v>145.69999999999999</v>
      </c>
    </row>
    <row r="240" spans="1:30" hidden="1" x14ac:dyDescent="0.3">
      <c r="A240" t="s">
        <v>33</v>
      </c>
      <c r="B240">
        <v>2019</v>
      </c>
      <c r="C240" t="s">
        <v>41</v>
      </c>
      <c r="D240">
        <v>142.1</v>
      </c>
      <c r="E240">
        <v>158.30000000000001</v>
      </c>
      <c r="F240">
        <v>140.80000000000001</v>
      </c>
      <c r="G240">
        <v>144.9</v>
      </c>
      <c r="H240">
        <v>119.9</v>
      </c>
      <c r="I240">
        <v>153.9</v>
      </c>
      <c r="J240">
        <v>189.1</v>
      </c>
      <c r="K240">
        <v>129.80000000000001</v>
      </c>
      <c r="L240">
        <v>112.7</v>
      </c>
      <c r="M240">
        <v>142.5</v>
      </c>
      <c r="N240">
        <v>129.80000000000001</v>
      </c>
      <c r="O240">
        <v>156.19999999999999</v>
      </c>
      <c r="P240">
        <v>149.1</v>
      </c>
      <c r="Q240">
        <v>167.9</v>
      </c>
      <c r="R240">
        <v>145</v>
      </c>
      <c r="S240">
        <v>132.19999999999999</v>
      </c>
      <c r="T240">
        <v>143</v>
      </c>
      <c r="U240">
        <v>151.6</v>
      </c>
      <c r="V240">
        <v>125.5</v>
      </c>
      <c r="W240">
        <v>138.1</v>
      </c>
      <c r="X240">
        <v>141.5</v>
      </c>
      <c r="Y240">
        <v>120.8</v>
      </c>
      <c r="Z240">
        <v>135.4</v>
      </c>
      <c r="AA240">
        <v>151.5</v>
      </c>
      <c r="AB240">
        <v>137.80000000000001</v>
      </c>
      <c r="AC240">
        <v>135.30000000000001</v>
      </c>
      <c r="AD240">
        <v>144.19999999999999</v>
      </c>
    </row>
    <row r="241" spans="1:30" hidden="1" x14ac:dyDescent="0.3">
      <c r="A241" t="s">
        <v>34</v>
      </c>
      <c r="B241">
        <v>2019</v>
      </c>
      <c r="C241" t="s">
        <v>41</v>
      </c>
      <c r="D241">
        <v>140.1</v>
      </c>
      <c r="E241">
        <v>160.6</v>
      </c>
      <c r="F241">
        <v>138.5</v>
      </c>
      <c r="G241">
        <v>144.69999999999999</v>
      </c>
      <c r="H241">
        <v>122.9</v>
      </c>
      <c r="I241">
        <v>149.4</v>
      </c>
      <c r="J241">
        <v>167.4</v>
      </c>
      <c r="K241">
        <v>130.9</v>
      </c>
      <c r="L241">
        <v>112</v>
      </c>
      <c r="M241">
        <v>142.6</v>
      </c>
      <c r="N241">
        <v>134.9</v>
      </c>
      <c r="O241">
        <v>156.6</v>
      </c>
      <c r="P241">
        <v>145.9</v>
      </c>
      <c r="Q241">
        <v>165.8</v>
      </c>
      <c r="R241">
        <v>149.1</v>
      </c>
      <c r="S241">
        <v>140.6</v>
      </c>
      <c r="T241">
        <v>147.9</v>
      </c>
      <c r="U241">
        <v>151.6</v>
      </c>
      <c r="V241">
        <v>138.5</v>
      </c>
      <c r="W241">
        <v>144.5</v>
      </c>
      <c r="X241">
        <v>148.5</v>
      </c>
      <c r="Y241">
        <v>125.8</v>
      </c>
      <c r="Z241">
        <v>140.9</v>
      </c>
      <c r="AA241">
        <v>154.9</v>
      </c>
      <c r="AB241">
        <v>138.4</v>
      </c>
      <c r="AC241">
        <v>140.19999999999999</v>
      </c>
      <c r="AD241">
        <v>145</v>
      </c>
    </row>
    <row r="242" spans="1:30" hidden="1" x14ac:dyDescent="0.3">
      <c r="A242" t="s">
        <v>30</v>
      </c>
      <c r="B242">
        <v>2019</v>
      </c>
      <c r="C242" t="s">
        <v>42</v>
      </c>
      <c r="D242">
        <v>140.1</v>
      </c>
      <c r="E242">
        <v>161.9</v>
      </c>
      <c r="F242">
        <v>138.30000000000001</v>
      </c>
      <c r="G242">
        <v>145.69999999999999</v>
      </c>
      <c r="H242">
        <v>125.1</v>
      </c>
      <c r="I242">
        <v>143.80000000000001</v>
      </c>
      <c r="J242">
        <v>163.4</v>
      </c>
      <c r="K242">
        <v>132.19999999999999</v>
      </c>
      <c r="L242">
        <v>112.8</v>
      </c>
      <c r="M242">
        <v>144.19999999999999</v>
      </c>
      <c r="N242">
        <v>138.5</v>
      </c>
      <c r="O242">
        <v>157.19999999999999</v>
      </c>
      <c r="P242">
        <v>145.5</v>
      </c>
      <c r="Q242">
        <v>165.7</v>
      </c>
      <c r="R242">
        <v>151.69999999999999</v>
      </c>
      <c r="S242">
        <v>146.6</v>
      </c>
      <c r="T242">
        <v>151</v>
      </c>
      <c r="U242" t="s">
        <v>32</v>
      </c>
      <c r="V242">
        <v>146.9</v>
      </c>
      <c r="W242">
        <v>150.30000000000001</v>
      </c>
      <c r="X242">
        <v>153.4</v>
      </c>
      <c r="Y242">
        <v>131.6</v>
      </c>
      <c r="Z242">
        <v>148.30000000000001</v>
      </c>
      <c r="AA242">
        <v>160.19999999999999</v>
      </c>
      <c r="AB242">
        <v>140.19999999999999</v>
      </c>
      <c r="AC242">
        <v>145.4</v>
      </c>
      <c r="AD242">
        <v>146.69999999999999</v>
      </c>
    </row>
    <row r="243" spans="1:30" hidden="1" x14ac:dyDescent="0.3">
      <c r="A243" t="s">
        <v>33</v>
      </c>
      <c r="B243">
        <v>2019</v>
      </c>
      <c r="C243" t="s">
        <v>42</v>
      </c>
      <c r="D243">
        <v>142.69999999999999</v>
      </c>
      <c r="E243">
        <v>158.69999999999999</v>
      </c>
      <c r="F243">
        <v>141.6</v>
      </c>
      <c r="G243">
        <v>144.9</v>
      </c>
      <c r="H243">
        <v>120.8</v>
      </c>
      <c r="I243">
        <v>149.80000000000001</v>
      </c>
      <c r="J243">
        <v>192.4</v>
      </c>
      <c r="K243">
        <v>130.30000000000001</v>
      </c>
      <c r="L243">
        <v>114</v>
      </c>
      <c r="M243">
        <v>143.80000000000001</v>
      </c>
      <c r="N243">
        <v>130</v>
      </c>
      <c r="O243">
        <v>156.4</v>
      </c>
      <c r="P243">
        <v>149.5</v>
      </c>
      <c r="Q243">
        <v>168.6</v>
      </c>
      <c r="R243">
        <v>145.30000000000001</v>
      </c>
      <c r="S243">
        <v>132.19999999999999</v>
      </c>
      <c r="T243">
        <v>143.30000000000001</v>
      </c>
      <c r="U243">
        <v>152.19999999999999</v>
      </c>
      <c r="V243">
        <v>126.6</v>
      </c>
      <c r="W243">
        <v>138.30000000000001</v>
      </c>
      <c r="X243">
        <v>141.9</v>
      </c>
      <c r="Y243">
        <v>121.2</v>
      </c>
      <c r="Z243">
        <v>135.9</v>
      </c>
      <c r="AA243">
        <v>151.6</v>
      </c>
      <c r="AB243">
        <v>139</v>
      </c>
      <c r="AC243">
        <v>135.69999999999999</v>
      </c>
      <c r="AD243">
        <v>144.69999999999999</v>
      </c>
    </row>
    <row r="244" spans="1:30" hidden="1" x14ac:dyDescent="0.3">
      <c r="A244" t="s">
        <v>34</v>
      </c>
      <c r="B244">
        <v>2019</v>
      </c>
      <c r="C244" t="s">
        <v>42</v>
      </c>
      <c r="D244">
        <v>140.9</v>
      </c>
      <c r="E244">
        <v>160.80000000000001</v>
      </c>
      <c r="F244">
        <v>139.6</v>
      </c>
      <c r="G244">
        <v>145.4</v>
      </c>
      <c r="H244">
        <v>123.5</v>
      </c>
      <c r="I244">
        <v>146.6</v>
      </c>
      <c r="J244">
        <v>173.2</v>
      </c>
      <c r="K244">
        <v>131.6</v>
      </c>
      <c r="L244">
        <v>113.2</v>
      </c>
      <c r="M244">
        <v>144.1</v>
      </c>
      <c r="N244">
        <v>135</v>
      </c>
      <c r="O244">
        <v>156.80000000000001</v>
      </c>
      <c r="P244">
        <v>147</v>
      </c>
      <c r="Q244">
        <v>166.5</v>
      </c>
      <c r="R244">
        <v>149.19999999999999</v>
      </c>
      <c r="S244">
        <v>140.6</v>
      </c>
      <c r="T244">
        <v>147.9</v>
      </c>
      <c r="U244">
        <v>152.19999999999999</v>
      </c>
      <c r="V244">
        <v>139.19999999999999</v>
      </c>
      <c r="W244">
        <v>144.6</v>
      </c>
      <c r="X244">
        <v>149</v>
      </c>
      <c r="Y244">
        <v>126.1</v>
      </c>
      <c r="Z244">
        <v>141.30000000000001</v>
      </c>
      <c r="AA244">
        <v>155.19999999999999</v>
      </c>
      <c r="AB244">
        <v>139.69999999999999</v>
      </c>
      <c r="AC244">
        <v>140.69999999999999</v>
      </c>
      <c r="AD244">
        <v>145.80000000000001</v>
      </c>
    </row>
    <row r="245" spans="1:30" hidden="1" x14ac:dyDescent="0.3">
      <c r="A245" t="s">
        <v>30</v>
      </c>
      <c r="B245">
        <v>2019</v>
      </c>
      <c r="C245" t="s">
        <v>43</v>
      </c>
      <c r="D245">
        <v>141</v>
      </c>
      <c r="E245">
        <v>161.6</v>
      </c>
      <c r="F245">
        <v>141.19999999999999</v>
      </c>
      <c r="G245">
        <v>146.5</v>
      </c>
      <c r="H245">
        <v>125.6</v>
      </c>
      <c r="I245">
        <v>145.69999999999999</v>
      </c>
      <c r="J245">
        <v>178.8</v>
      </c>
      <c r="K245">
        <v>133.1</v>
      </c>
      <c r="L245">
        <v>113.6</v>
      </c>
      <c r="M245">
        <v>145.5</v>
      </c>
      <c r="N245">
        <v>138.6</v>
      </c>
      <c r="O245">
        <v>157.4</v>
      </c>
      <c r="P245">
        <v>148.30000000000001</v>
      </c>
      <c r="Q245">
        <v>166.3</v>
      </c>
      <c r="R245">
        <v>151.69999999999999</v>
      </c>
      <c r="S245">
        <v>146.69999999999999</v>
      </c>
      <c r="T245">
        <v>151</v>
      </c>
      <c r="U245" t="s">
        <v>32</v>
      </c>
      <c r="V245">
        <v>147.69999999999999</v>
      </c>
      <c r="W245">
        <v>150.6</v>
      </c>
      <c r="X245">
        <v>153.69999999999999</v>
      </c>
      <c r="Y245">
        <v>131.69999999999999</v>
      </c>
      <c r="Z245">
        <v>148.69999999999999</v>
      </c>
      <c r="AA245">
        <v>160.69999999999999</v>
      </c>
      <c r="AB245">
        <v>140.30000000000001</v>
      </c>
      <c r="AC245">
        <v>145.69999999999999</v>
      </c>
      <c r="AD245">
        <v>148.30000000000001</v>
      </c>
    </row>
    <row r="246" spans="1:30" hidden="1" x14ac:dyDescent="0.3">
      <c r="A246" t="s">
        <v>33</v>
      </c>
      <c r="B246">
        <v>2019</v>
      </c>
      <c r="C246" t="s">
        <v>43</v>
      </c>
      <c r="D246">
        <v>143.5</v>
      </c>
      <c r="E246">
        <v>159.80000000000001</v>
      </c>
      <c r="F246">
        <v>144.69999999999999</v>
      </c>
      <c r="G246">
        <v>145.6</v>
      </c>
      <c r="H246">
        <v>121.1</v>
      </c>
      <c r="I246">
        <v>150.6</v>
      </c>
      <c r="J246">
        <v>207.2</v>
      </c>
      <c r="K246">
        <v>131.19999999999999</v>
      </c>
      <c r="L246">
        <v>114.8</v>
      </c>
      <c r="M246">
        <v>145.19999999999999</v>
      </c>
      <c r="N246">
        <v>130.19999999999999</v>
      </c>
      <c r="O246">
        <v>156.80000000000001</v>
      </c>
      <c r="P246">
        <v>151.9</v>
      </c>
      <c r="Q246">
        <v>169.3</v>
      </c>
      <c r="R246">
        <v>145.9</v>
      </c>
      <c r="S246">
        <v>132.4</v>
      </c>
      <c r="T246">
        <v>143.9</v>
      </c>
      <c r="U246">
        <v>153</v>
      </c>
      <c r="V246">
        <v>128.9</v>
      </c>
      <c r="W246">
        <v>138.69999999999999</v>
      </c>
      <c r="X246">
        <v>142.4</v>
      </c>
      <c r="Y246">
        <v>121.5</v>
      </c>
      <c r="Z246">
        <v>136.19999999999999</v>
      </c>
      <c r="AA246">
        <v>151.69999999999999</v>
      </c>
      <c r="AB246">
        <v>139.5</v>
      </c>
      <c r="AC246">
        <v>136</v>
      </c>
      <c r="AD246">
        <v>146</v>
      </c>
    </row>
    <row r="247" spans="1:30" hidden="1" x14ac:dyDescent="0.3">
      <c r="A247" t="s">
        <v>34</v>
      </c>
      <c r="B247">
        <v>2019</v>
      </c>
      <c r="C247" t="s">
        <v>43</v>
      </c>
      <c r="D247">
        <v>141.80000000000001</v>
      </c>
      <c r="E247">
        <v>161</v>
      </c>
      <c r="F247">
        <v>142.6</v>
      </c>
      <c r="G247">
        <v>146.19999999999999</v>
      </c>
      <c r="H247">
        <v>123.9</v>
      </c>
      <c r="I247">
        <v>148</v>
      </c>
      <c r="J247">
        <v>188.4</v>
      </c>
      <c r="K247">
        <v>132.5</v>
      </c>
      <c r="L247">
        <v>114</v>
      </c>
      <c r="M247">
        <v>145.4</v>
      </c>
      <c r="N247">
        <v>135.1</v>
      </c>
      <c r="O247">
        <v>157.1</v>
      </c>
      <c r="P247">
        <v>149.6</v>
      </c>
      <c r="Q247">
        <v>167.1</v>
      </c>
      <c r="R247">
        <v>149.4</v>
      </c>
      <c r="S247">
        <v>140.80000000000001</v>
      </c>
      <c r="T247">
        <v>148.19999999999999</v>
      </c>
      <c r="U247">
        <v>153</v>
      </c>
      <c r="V247">
        <v>140.6</v>
      </c>
      <c r="W247">
        <v>145</v>
      </c>
      <c r="X247">
        <v>149.4</v>
      </c>
      <c r="Y247">
        <v>126.3</v>
      </c>
      <c r="Z247">
        <v>141.69999999999999</v>
      </c>
      <c r="AA247">
        <v>155.4</v>
      </c>
      <c r="AB247">
        <v>140</v>
      </c>
      <c r="AC247">
        <v>141</v>
      </c>
      <c r="AD247">
        <v>147.19999999999999</v>
      </c>
    </row>
    <row r="248" spans="1:30" hidden="1" x14ac:dyDescent="0.3">
      <c r="A248" t="s">
        <v>30</v>
      </c>
      <c r="B248">
        <v>2019</v>
      </c>
      <c r="C248" t="s">
        <v>45</v>
      </c>
      <c r="D248">
        <v>141.80000000000001</v>
      </c>
      <c r="E248">
        <v>163.69999999999999</v>
      </c>
      <c r="F248">
        <v>143.80000000000001</v>
      </c>
      <c r="G248">
        <v>147.1</v>
      </c>
      <c r="H248">
        <v>126</v>
      </c>
      <c r="I248">
        <v>146.19999999999999</v>
      </c>
      <c r="J248">
        <v>191.4</v>
      </c>
      <c r="K248">
        <v>136.19999999999999</v>
      </c>
      <c r="L248">
        <v>113.8</v>
      </c>
      <c r="M248">
        <v>147.30000000000001</v>
      </c>
      <c r="N248">
        <v>138.69999999999999</v>
      </c>
      <c r="O248">
        <v>157.69999999999999</v>
      </c>
      <c r="P248">
        <v>150.9</v>
      </c>
      <c r="Q248">
        <v>167.2</v>
      </c>
      <c r="R248">
        <v>152.30000000000001</v>
      </c>
      <c r="S248">
        <v>147</v>
      </c>
      <c r="T248">
        <v>151.5</v>
      </c>
      <c r="U248" t="s">
        <v>32</v>
      </c>
      <c r="V248">
        <v>148.4</v>
      </c>
      <c r="W248">
        <v>150.9</v>
      </c>
      <c r="X248">
        <v>154.30000000000001</v>
      </c>
      <c r="Y248">
        <v>132.1</v>
      </c>
      <c r="Z248">
        <v>149.1</v>
      </c>
      <c r="AA248">
        <v>160.80000000000001</v>
      </c>
      <c r="AB248">
        <v>140.6</v>
      </c>
      <c r="AC248">
        <v>146.1</v>
      </c>
      <c r="AD248">
        <v>149.9</v>
      </c>
    </row>
    <row r="249" spans="1:30" hidden="1" x14ac:dyDescent="0.3">
      <c r="A249" t="s">
        <v>33</v>
      </c>
      <c r="B249">
        <v>2019</v>
      </c>
      <c r="C249" t="s">
        <v>45</v>
      </c>
      <c r="D249">
        <v>144.1</v>
      </c>
      <c r="E249">
        <v>162.4</v>
      </c>
      <c r="F249">
        <v>148.4</v>
      </c>
      <c r="G249">
        <v>145.9</v>
      </c>
      <c r="H249">
        <v>121.5</v>
      </c>
      <c r="I249">
        <v>148.80000000000001</v>
      </c>
      <c r="J249">
        <v>215.7</v>
      </c>
      <c r="K249">
        <v>134.6</v>
      </c>
      <c r="L249">
        <v>115</v>
      </c>
      <c r="M249">
        <v>146.30000000000001</v>
      </c>
      <c r="N249">
        <v>130.5</v>
      </c>
      <c r="O249">
        <v>157.19999999999999</v>
      </c>
      <c r="P249">
        <v>153.6</v>
      </c>
      <c r="Q249">
        <v>169.9</v>
      </c>
      <c r="R249">
        <v>146.30000000000001</v>
      </c>
      <c r="S249">
        <v>132.6</v>
      </c>
      <c r="T249">
        <v>144.19999999999999</v>
      </c>
      <c r="U249">
        <v>153.5</v>
      </c>
      <c r="V249">
        <v>132.19999999999999</v>
      </c>
      <c r="W249">
        <v>139.1</v>
      </c>
      <c r="X249">
        <v>142.80000000000001</v>
      </c>
      <c r="Y249">
        <v>121.7</v>
      </c>
      <c r="Z249">
        <v>136.69999999999999</v>
      </c>
      <c r="AA249">
        <v>151.80000000000001</v>
      </c>
      <c r="AB249">
        <v>139.80000000000001</v>
      </c>
      <c r="AC249">
        <v>136.30000000000001</v>
      </c>
      <c r="AD249">
        <v>147</v>
      </c>
    </row>
    <row r="250" spans="1:30" hidden="1" x14ac:dyDescent="0.3">
      <c r="A250" t="s">
        <v>34</v>
      </c>
      <c r="B250">
        <v>2019</v>
      </c>
      <c r="C250" t="s">
        <v>45</v>
      </c>
      <c r="D250">
        <v>142.5</v>
      </c>
      <c r="E250">
        <v>163.19999999999999</v>
      </c>
      <c r="F250">
        <v>145.6</v>
      </c>
      <c r="G250">
        <v>146.69999999999999</v>
      </c>
      <c r="H250">
        <v>124.3</v>
      </c>
      <c r="I250">
        <v>147.4</v>
      </c>
      <c r="J250">
        <v>199.6</v>
      </c>
      <c r="K250">
        <v>135.69999999999999</v>
      </c>
      <c r="L250">
        <v>114.2</v>
      </c>
      <c r="M250">
        <v>147</v>
      </c>
      <c r="N250">
        <v>135.30000000000001</v>
      </c>
      <c r="O250">
        <v>157.5</v>
      </c>
      <c r="P250">
        <v>151.9</v>
      </c>
      <c r="Q250">
        <v>167.9</v>
      </c>
      <c r="R250">
        <v>149.9</v>
      </c>
      <c r="S250">
        <v>141</v>
      </c>
      <c r="T250">
        <v>148.6</v>
      </c>
      <c r="U250">
        <v>153.5</v>
      </c>
      <c r="V250">
        <v>142.30000000000001</v>
      </c>
      <c r="W250">
        <v>145.30000000000001</v>
      </c>
      <c r="X250">
        <v>149.9</v>
      </c>
      <c r="Y250">
        <v>126.6</v>
      </c>
      <c r="Z250">
        <v>142.1</v>
      </c>
      <c r="AA250">
        <v>155.5</v>
      </c>
      <c r="AB250">
        <v>140.30000000000001</v>
      </c>
      <c r="AC250">
        <v>141.30000000000001</v>
      </c>
      <c r="AD250">
        <v>148.6</v>
      </c>
    </row>
    <row r="251" spans="1:30" hidden="1" x14ac:dyDescent="0.3">
      <c r="A251" t="s">
        <v>30</v>
      </c>
      <c r="B251">
        <v>2019</v>
      </c>
      <c r="C251" t="s">
        <v>46</v>
      </c>
      <c r="D251">
        <v>142.80000000000001</v>
      </c>
      <c r="E251">
        <v>165.3</v>
      </c>
      <c r="F251">
        <v>149.5</v>
      </c>
      <c r="G251">
        <v>148.69999999999999</v>
      </c>
      <c r="H251">
        <v>127.5</v>
      </c>
      <c r="I251">
        <v>144.30000000000001</v>
      </c>
      <c r="J251">
        <v>209.5</v>
      </c>
      <c r="K251">
        <v>138.80000000000001</v>
      </c>
      <c r="L251">
        <v>113.6</v>
      </c>
      <c r="M251">
        <v>149.1</v>
      </c>
      <c r="N251">
        <v>139.30000000000001</v>
      </c>
      <c r="O251">
        <v>158.30000000000001</v>
      </c>
      <c r="P251">
        <v>154.30000000000001</v>
      </c>
      <c r="Q251">
        <v>167.8</v>
      </c>
      <c r="R251">
        <v>152.6</v>
      </c>
      <c r="S251">
        <v>147.30000000000001</v>
      </c>
      <c r="T251">
        <v>151.9</v>
      </c>
      <c r="U251" t="s">
        <v>32</v>
      </c>
      <c r="V251">
        <v>149.9</v>
      </c>
      <c r="W251">
        <v>151.19999999999999</v>
      </c>
      <c r="X251">
        <v>154.80000000000001</v>
      </c>
      <c r="Y251">
        <v>135</v>
      </c>
      <c r="Z251">
        <v>149.5</v>
      </c>
      <c r="AA251">
        <v>161.1</v>
      </c>
      <c r="AB251">
        <v>140.6</v>
      </c>
      <c r="AC251">
        <v>147.1</v>
      </c>
      <c r="AD251">
        <v>152.30000000000001</v>
      </c>
    </row>
    <row r="252" spans="1:30" hidden="1" x14ac:dyDescent="0.3">
      <c r="A252" t="s">
        <v>33</v>
      </c>
      <c r="B252">
        <v>2019</v>
      </c>
      <c r="C252" t="s">
        <v>46</v>
      </c>
      <c r="D252">
        <v>144.9</v>
      </c>
      <c r="E252">
        <v>164.5</v>
      </c>
      <c r="F252">
        <v>153.69999999999999</v>
      </c>
      <c r="G252">
        <v>147.5</v>
      </c>
      <c r="H252">
        <v>122.7</v>
      </c>
      <c r="I252">
        <v>147.19999999999999</v>
      </c>
      <c r="J252">
        <v>231.5</v>
      </c>
      <c r="K252">
        <v>137.19999999999999</v>
      </c>
      <c r="L252">
        <v>114.7</v>
      </c>
      <c r="M252">
        <v>148</v>
      </c>
      <c r="N252">
        <v>130.80000000000001</v>
      </c>
      <c r="O252">
        <v>157.69999999999999</v>
      </c>
      <c r="P252">
        <v>156.30000000000001</v>
      </c>
      <c r="Q252">
        <v>170.4</v>
      </c>
      <c r="R252">
        <v>146.80000000000001</v>
      </c>
      <c r="S252">
        <v>132.80000000000001</v>
      </c>
      <c r="T252">
        <v>144.6</v>
      </c>
      <c r="U252">
        <v>152.80000000000001</v>
      </c>
      <c r="V252">
        <v>133.6</v>
      </c>
      <c r="W252">
        <v>139.80000000000001</v>
      </c>
      <c r="X252">
        <v>143.19999999999999</v>
      </c>
      <c r="Y252">
        <v>125.2</v>
      </c>
      <c r="Z252">
        <v>136.80000000000001</v>
      </c>
      <c r="AA252">
        <v>151.9</v>
      </c>
      <c r="AB252">
        <v>140.19999999999999</v>
      </c>
      <c r="AC252">
        <v>137.69999999999999</v>
      </c>
      <c r="AD252">
        <v>148.30000000000001</v>
      </c>
    </row>
    <row r="253" spans="1:30" hidden="1" x14ac:dyDescent="0.3">
      <c r="A253" t="s">
        <v>34</v>
      </c>
      <c r="B253">
        <v>2019</v>
      </c>
      <c r="C253" t="s">
        <v>46</v>
      </c>
      <c r="D253">
        <v>143.5</v>
      </c>
      <c r="E253">
        <v>165</v>
      </c>
      <c r="F253">
        <v>151.1</v>
      </c>
      <c r="G253">
        <v>148.30000000000001</v>
      </c>
      <c r="H253">
        <v>125.7</v>
      </c>
      <c r="I253">
        <v>145.69999999999999</v>
      </c>
      <c r="J253">
        <v>217</v>
      </c>
      <c r="K253">
        <v>138.30000000000001</v>
      </c>
      <c r="L253">
        <v>114</v>
      </c>
      <c r="M253">
        <v>148.69999999999999</v>
      </c>
      <c r="N253">
        <v>135.80000000000001</v>
      </c>
      <c r="O253">
        <v>158</v>
      </c>
      <c r="P253">
        <v>155</v>
      </c>
      <c r="Q253">
        <v>168.5</v>
      </c>
      <c r="R253">
        <v>150.30000000000001</v>
      </c>
      <c r="S253">
        <v>141.30000000000001</v>
      </c>
      <c r="T253">
        <v>149</v>
      </c>
      <c r="U253">
        <v>152.80000000000001</v>
      </c>
      <c r="V253">
        <v>143.69999999999999</v>
      </c>
      <c r="W253">
        <v>145.80000000000001</v>
      </c>
      <c r="X253">
        <v>150.4</v>
      </c>
      <c r="Y253">
        <v>129.80000000000001</v>
      </c>
      <c r="Z253">
        <v>142.30000000000001</v>
      </c>
      <c r="AA253">
        <v>155.69999999999999</v>
      </c>
      <c r="AB253">
        <v>140.4</v>
      </c>
      <c r="AC253">
        <v>142.5</v>
      </c>
      <c r="AD253">
        <v>150.4</v>
      </c>
    </row>
    <row r="254" spans="1:30" hidden="1" x14ac:dyDescent="0.3">
      <c r="A254" t="s">
        <v>30</v>
      </c>
      <c r="B254">
        <v>2020</v>
      </c>
      <c r="C254" t="s">
        <v>31</v>
      </c>
      <c r="D254">
        <v>143.69999999999999</v>
      </c>
      <c r="E254">
        <v>167.3</v>
      </c>
      <c r="F254">
        <v>153.5</v>
      </c>
      <c r="G254">
        <v>150.5</v>
      </c>
      <c r="H254">
        <v>132</v>
      </c>
      <c r="I254">
        <v>142.19999999999999</v>
      </c>
      <c r="J254">
        <v>191.5</v>
      </c>
      <c r="K254">
        <v>141.1</v>
      </c>
      <c r="L254">
        <v>113.8</v>
      </c>
      <c r="M254">
        <v>151.6</v>
      </c>
      <c r="N254">
        <v>139.69999999999999</v>
      </c>
      <c r="O254">
        <v>158.69999999999999</v>
      </c>
      <c r="P254">
        <v>153</v>
      </c>
      <c r="Q254">
        <v>168.6</v>
      </c>
      <c r="R254">
        <v>152.80000000000001</v>
      </c>
      <c r="S254">
        <v>147.4</v>
      </c>
      <c r="T254">
        <v>152.1</v>
      </c>
      <c r="U254" t="s">
        <v>32</v>
      </c>
      <c r="V254">
        <v>150.4</v>
      </c>
      <c r="W254">
        <v>151.69999999999999</v>
      </c>
      <c r="X254">
        <v>155.69999999999999</v>
      </c>
      <c r="Y254">
        <v>136.30000000000001</v>
      </c>
      <c r="Z254">
        <v>150.1</v>
      </c>
      <c r="AA254">
        <v>161.69999999999999</v>
      </c>
      <c r="AB254">
        <v>142.5</v>
      </c>
      <c r="AC254">
        <v>148.1</v>
      </c>
      <c r="AD254">
        <v>151.9</v>
      </c>
    </row>
    <row r="255" spans="1:30" hidden="1" x14ac:dyDescent="0.3">
      <c r="A255" t="s">
        <v>33</v>
      </c>
      <c r="B255">
        <v>2020</v>
      </c>
      <c r="C255" t="s">
        <v>31</v>
      </c>
      <c r="D255">
        <v>145.6</v>
      </c>
      <c r="E255">
        <v>167.6</v>
      </c>
      <c r="F255">
        <v>157</v>
      </c>
      <c r="G255">
        <v>149.30000000000001</v>
      </c>
      <c r="H255">
        <v>126.3</v>
      </c>
      <c r="I255">
        <v>144.4</v>
      </c>
      <c r="J255">
        <v>207.8</v>
      </c>
      <c r="K255">
        <v>139.1</v>
      </c>
      <c r="L255">
        <v>114.8</v>
      </c>
      <c r="M255">
        <v>149.5</v>
      </c>
      <c r="N255">
        <v>131.1</v>
      </c>
      <c r="O255">
        <v>158.5</v>
      </c>
      <c r="P255">
        <v>154.4</v>
      </c>
      <c r="Q255">
        <v>170.8</v>
      </c>
      <c r="R255">
        <v>147</v>
      </c>
      <c r="S255">
        <v>133.19999999999999</v>
      </c>
      <c r="T255">
        <v>144.9</v>
      </c>
      <c r="U255">
        <v>153.9</v>
      </c>
      <c r="V255">
        <v>135.1</v>
      </c>
      <c r="W255">
        <v>140.1</v>
      </c>
      <c r="X255">
        <v>143.80000000000001</v>
      </c>
      <c r="Y255">
        <v>126.1</v>
      </c>
      <c r="Z255">
        <v>137.19999999999999</v>
      </c>
      <c r="AA255">
        <v>152.1</v>
      </c>
      <c r="AB255">
        <v>142.1</v>
      </c>
      <c r="AC255">
        <v>138.4</v>
      </c>
      <c r="AD255">
        <v>148.19999999999999</v>
      </c>
    </row>
    <row r="256" spans="1:30" hidden="1" x14ac:dyDescent="0.3">
      <c r="A256" t="s">
        <v>34</v>
      </c>
      <c r="B256">
        <v>2020</v>
      </c>
      <c r="C256" t="s">
        <v>31</v>
      </c>
      <c r="D256">
        <v>144.30000000000001</v>
      </c>
      <c r="E256">
        <v>167.4</v>
      </c>
      <c r="F256">
        <v>154.9</v>
      </c>
      <c r="G256">
        <v>150.1</v>
      </c>
      <c r="H256">
        <v>129.9</v>
      </c>
      <c r="I256">
        <v>143.19999999999999</v>
      </c>
      <c r="J256">
        <v>197</v>
      </c>
      <c r="K256">
        <v>140.4</v>
      </c>
      <c r="L256">
        <v>114.1</v>
      </c>
      <c r="M256">
        <v>150.9</v>
      </c>
      <c r="N256">
        <v>136.1</v>
      </c>
      <c r="O256">
        <v>158.6</v>
      </c>
      <c r="P256">
        <v>153.5</v>
      </c>
      <c r="Q256">
        <v>169.2</v>
      </c>
      <c r="R256">
        <v>150.5</v>
      </c>
      <c r="S256">
        <v>141.5</v>
      </c>
      <c r="T256">
        <v>149.19999999999999</v>
      </c>
      <c r="U256">
        <v>153.9</v>
      </c>
      <c r="V256">
        <v>144.6</v>
      </c>
      <c r="W256">
        <v>146.19999999999999</v>
      </c>
      <c r="X256">
        <v>151.19999999999999</v>
      </c>
      <c r="Y256">
        <v>130.9</v>
      </c>
      <c r="Z256">
        <v>142.80000000000001</v>
      </c>
      <c r="AA256">
        <v>156.1</v>
      </c>
      <c r="AB256">
        <v>142.30000000000001</v>
      </c>
      <c r="AC256">
        <v>143.4</v>
      </c>
      <c r="AD256">
        <v>150.19999999999999</v>
      </c>
    </row>
    <row r="257" spans="1:30" hidden="1" x14ac:dyDescent="0.3">
      <c r="A257" t="s">
        <v>30</v>
      </c>
      <c r="B257">
        <v>2020</v>
      </c>
      <c r="C257" t="s">
        <v>35</v>
      </c>
      <c r="D257">
        <v>144.19999999999999</v>
      </c>
      <c r="E257">
        <v>167.5</v>
      </c>
      <c r="F257">
        <v>150.9</v>
      </c>
      <c r="G257">
        <v>150.9</v>
      </c>
      <c r="H257">
        <v>133.69999999999999</v>
      </c>
      <c r="I257">
        <v>140.69999999999999</v>
      </c>
      <c r="J257">
        <v>165.1</v>
      </c>
      <c r="K257">
        <v>141.80000000000001</v>
      </c>
      <c r="L257">
        <v>113.1</v>
      </c>
      <c r="M257">
        <v>152.80000000000001</v>
      </c>
      <c r="N257">
        <v>140.1</v>
      </c>
      <c r="O257">
        <v>159.19999999999999</v>
      </c>
      <c r="P257">
        <v>149.80000000000001</v>
      </c>
      <c r="Q257">
        <v>169.4</v>
      </c>
      <c r="R257">
        <v>153</v>
      </c>
      <c r="S257">
        <v>147.5</v>
      </c>
      <c r="T257">
        <v>152.30000000000001</v>
      </c>
      <c r="U257" t="s">
        <v>32</v>
      </c>
      <c r="V257">
        <v>152.30000000000001</v>
      </c>
      <c r="W257">
        <v>151.80000000000001</v>
      </c>
      <c r="X257">
        <v>156.19999999999999</v>
      </c>
      <c r="Y257">
        <v>136</v>
      </c>
      <c r="Z257">
        <v>150.4</v>
      </c>
      <c r="AA257">
        <v>161.9</v>
      </c>
      <c r="AB257">
        <v>143.4</v>
      </c>
      <c r="AC257">
        <v>148.4</v>
      </c>
      <c r="AD257">
        <v>150.4</v>
      </c>
    </row>
    <row r="258" spans="1:30" hidden="1" x14ac:dyDescent="0.3">
      <c r="A258" t="s">
        <v>33</v>
      </c>
      <c r="B258">
        <v>2020</v>
      </c>
      <c r="C258" t="s">
        <v>35</v>
      </c>
      <c r="D258">
        <v>146.19999999999999</v>
      </c>
      <c r="E258">
        <v>167.6</v>
      </c>
      <c r="F258">
        <v>153.1</v>
      </c>
      <c r="G258">
        <v>150.69999999999999</v>
      </c>
      <c r="H258">
        <v>127.4</v>
      </c>
      <c r="I258">
        <v>143.1</v>
      </c>
      <c r="J258">
        <v>181.7</v>
      </c>
      <c r="K258">
        <v>139.6</v>
      </c>
      <c r="L258">
        <v>114.6</v>
      </c>
      <c r="M258">
        <v>150.4</v>
      </c>
      <c r="N258">
        <v>131.5</v>
      </c>
      <c r="O258">
        <v>159</v>
      </c>
      <c r="P258">
        <v>151.69999999999999</v>
      </c>
      <c r="Q258">
        <v>172</v>
      </c>
      <c r="R258">
        <v>147.30000000000001</v>
      </c>
      <c r="S258">
        <v>133.5</v>
      </c>
      <c r="T258">
        <v>145.19999999999999</v>
      </c>
      <c r="U258">
        <v>154.80000000000001</v>
      </c>
      <c r="V258">
        <v>138.9</v>
      </c>
      <c r="W258">
        <v>140.4</v>
      </c>
      <c r="X258">
        <v>144.4</v>
      </c>
      <c r="Y258">
        <v>125.2</v>
      </c>
      <c r="Z258">
        <v>137.69999999999999</v>
      </c>
      <c r="AA258">
        <v>152.19999999999999</v>
      </c>
      <c r="AB258">
        <v>143.5</v>
      </c>
      <c r="AC258">
        <v>138.4</v>
      </c>
      <c r="AD258">
        <v>147.69999999999999</v>
      </c>
    </row>
    <row r="259" spans="1:30" hidden="1" x14ac:dyDescent="0.3">
      <c r="A259" t="s">
        <v>34</v>
      </c>
      <c r="B259">
        <v>2020</v>
      </c>
      <c r="C259" t="s">
        <v>35</v>
      </c>
      <c r="D259">
        <v>144.80000000000001</v>
      </c>
      <c r="E259">
        <v>167.5</v>
      </c>
      <c r="F259">
        <v>151.80000000000001</v>
      </c>
      <c r="G259">
        <v>150.80000000000001</v>
      </c>
      <c r="H259">
        <v>131.4</v>
      </c>
      <c r="I259">
        <v>141.80000000000001</v>
      </c>
      <c r="J259">
        <v>170.7</v>
      </c>
      <c r="K259">
        <v>141.1</v>
      </c>
      <c r="L259">
        <v>113.6</v>
      </c>
      <c r="M259">
        <v>152</v>
      </c>
      <c r="N259">
        <v>136.5</v>
      </c>
      <c r="O259">
        <v>159.1</v>
      </c>
      <c r="P259">
        <v>150.5</v>
      </c>
      <c r="Q259">
        <v>170.1</v>
      </c>
      <c r="R259">
        <v>150.80000000000001</v>
      </c>
      <c r="S259">
        <v>141.69999999999999</v>
      </c>
      <c r="T259">
        <v>149.5</v>
      </c>
      <c r="U259">
        <v>154.80000000000001</v>
      </c>
      <c r="V259">
        <v>147.19999999999999</v>
      </c>
      <c r="W259">
        <v>146.4</v>
      </c>
      <c r="X259">
        <v>151.69999999999999</v>
      </c>
      <c r="Y259">
        <v>130.30000000000001</v>
      </c>
      <c r="Z259">
        <v>143.19999999999999</v>
      </c>
      <c r="AA259">
        <v>156.19999999999999</v>
      </c>
      <c r="AB259">
        <v>143.4</v>
      </c>
      <c r="AC259">
        <v>143.6</v>
      </c>
      <c r="AD259">
        <v>149.1</v>
      </c>
    </row>
    <row r="260" spans="1:30" hidden="1" x14ac:dyDescent="0.3">
      <c r="A260" t="s">
        <v>30</v>
      </c>
      <c r="B260">
        <v>2020</v>
      </c>
      <c r="C260" t="s">
        <v>36</v>
      </c>
      <c r="D260">
        <v>144.4</v>
      </c>
      <c r="E260">
        <v>166.8</v>
      </c>
      <c r="F260">
        <v>147.6</v>
      </c>
      <c r="G260">
        <v>151.69999999999999</v>
      </c>
      <c r="H260">
        <v>133.30000000000001</v>
      </c>
      <c r="I260">
        <v>141.80000000000001</v>
      </c>
      <c r="J260">
        <v>152.30000000000001</v>
      </c>
      <c r="K260">
        <v>141.80000000000001</v>
      </c>
      <c r="L260">
        <v>112.6</v>
      </c>
      <c r="M260">
        <v>154</v>
      </c>
      <c r="N260">
        <v>140.1</v>
      </c>
      <c r="O260">
        <v>160</v>
      </c>
      <c r="P260">
        <v>148.19999999999999</v>
      </c>
      <c r="Q260">
        <v>170.5</v>
      </c>
      <c r="R260">
        <v>153.4</v>
      </c>
      <c r="S260">
        <v>147.6</v>
      </c>
      <c r="T260">
        <v>152.5</v>
      </c>
      <c r="U260" t="s">
        <v>32</v>
      </c>
      <c r="V260">
        <v>153.4</v>
      </c>
      <c r="W260">
        <v>151.5</v>
      </c>
      <c r="X260">
        <v>156.69999999999999</v>
      </c>
      <c r="Y260">
        <v>135.80000000000001</v>
      </c>
      <c r="Z260">
        <v>151.19999999999999</v>
      </c>
      <c r="AA260">
        <v>161.19999999999999</v>
      </c>
      <c r="AB260">
        <v>145.1</v>
      </c>
      <c r="AC260">
        <v>148.6</v>
      </c>
      <c r="AD260">
        <v>149.80000000000001</v>
      </c>
    </row>
    <row r="261" spans="1:30" hidden="1" x14ac:dyDescent="0.3">
      <c r="A261" t="s">
        <v>33</v>
      </c>
      <c r="B261">
        <v>2020</v>
      </c>
      <c r="C261" t="s">
        <v>36</v>
      </c>
      <c r="D261">
        <v>146.5</v>
      </c>
      <c r="E261">
        <v>167.5</v>
      </c>
      <c r="F261">
        <v>148.9</v>
      </c>
      <c r="G261">
        <v>151.1</v>
      </c>
      <c r="H261">
        <v>127.5</v>
      </c>
      <c r="I261">
        <v>143.30000000000001</v>
      </c>
      <c r="J261">
        <v>167</v>
      </c>
      <c r="K261">
        <v>139.69999999999999</v>
      </c>
      <c r="L261">
        <v>114.4</v>
      </c>
      <c r="M261">
        <v>151.5</v>
      </c>
      <c r="N261">
        <v>131.9</v>
      </c>
      <c r="O261">
        <v>159.1</v>
      </c>
      <c r="P261">
        <v>150.1</v>
      </c>
      <c r="Q261">
        <v>173.3</v>
      </c>
      <c r="R261">
        <v>147.69999999999999</v>
      </c>
      <c r="S261">
        <v>133.80000000000001</v>
      </c>
      <c r="T261">
        <v>145.6</v>
      </c>
      <c r="U261">
        <v>154.5</v>
      </c>
      <c r="V261">
        <v>141.4</v>
      </c>
      <c r="W261">
        <v>140.80000000000001</v>
      </c>
      <c r="X261">
        <v>145</v>
      </c>
      <c r="Y261">
        <v>124.6</v>
      </c>
      <c r="Z261">
        <v>137.9</v>
      </c>
      <c r="AA261">
        <v>152.5</v>
      </c>
      <c r="AB261">
        <v>145.30000000000001</v>
      </c>
      <c r="AC261">
        <v>138.69999999999999</v>
      </c>
      <c r="AD261">
        <v>147.30000000000001</v>
      </c>
    </row>
    <row r="262" spans="1:30" hidden="1" x14ac:dyDescent="0.3">
      <c r="A262" t="s">
        <v>34</v>
      </c>
      <c r="B262">
        <v>2020</v>
      </c>
      <c r="C262" t="s">
        <v>36</v>
      </c>
      <c r="D262">
        <v>145.1</v>
      </c>
      <c r="E262">
        <v>167</v>
      </c>
      <c r="F262">
        <v>148.1</v>
      </c>
      <c r="G262">
        <v>151.5</v>
      </c>
      <c r="H262">
        <v>131.19999999999999</v>
      </c>
      <c r="I262">
        <v>142.5</v>
      </c>
      <c r="J262">
        <v>157.30000000000001</v>
      </c>
      <c r="K262">
        <v>141.1</v>
      </c>
      <c r="L262">
        <v>113.2</v>
      </c>
      <c r="M262">
        <v>153.19999999999999</v>
      </c>
      <c r="N262">
        <v>136.69999999999999</v>
      </c>
      <c r="O262">
        <v>159.6</v>
      </c>
      <c r="P262">
        <v>148.9</v>
      </c>
      <c r="Q262">
        <v>171.2</v>
      </c>
      <c r="R262">
        <v>151.19999999999999</v>
      </c>
      <c r="S262">
        <v>141.9</v>
      </c>
      <c r="T262">
        <v>149.80000000000001</v>
      </c>
      <c r="U262">
        <v>154.5</v>
      </c>
      <c r="V262">
        <v>148.9</v>
      </c>
      <c r="W262">
        <v>146.4</v>
      </c>
      <c r="X262">
        <v>152.30000000000001</v>
      </c>
      <c r="Y262">
        <v>129.9</v>
      </c>
      <c r="Z262">
        <v>143.69999999999999</v>
      </c>
      <c r="AA262">
        <v>156.1</v>
      </c>
      <c r="AB262">
        <v>145.19999999999999</v>
      </c>
      <c r="AC262">
        <v>143.80000000000001</v>
      </c>
      <c r="AD262">
        <v>148.6</v>
      </c>
    </row>
    <row r="263" spans="1:30" hidden="1" x14ac:dyDescent="0.3">
      <c r="A263" t="s">
        <v>30</v>
      </c>
      <c r="B263">
        <v>2020</v>
      </c>
      <c r="C263" t="s">
        <v>37</v>
      </c>
      <c r="D263">
        <v>147.19999999999999</v>
      </c>
      <c r="E263" t="s">
        <v>32</v>
      </c>
      <c r="F263">
        <v>146.9</v>
      </c>
      <c r="G263">
        <v>155.6</v>
      </c>
      <c r="H263">
        <v>137.1</v>
      </c>
      <c r="I263">
        <v>147.30000000000001</v>
      </c>
      <c r="J263">
        <v>162.69999999999999</v>
      </c>
      <c r="K263">
        <v>150.19999999999999</v>
      </c>
      <c r="L263">
        <v>119.8</v>
      </c>
      <c r="M263">
        <v>158.69999999999999</v>
      </c>
      <c r="N263">
        <v>139.19999999999999</v>
      </c>
      <c r="O263" t="s">
        <v>32</v>
      </c>
      <c r="P263">
        <v>150.1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>
        <v>148.4</v>
      </c>
      <c r="W263" t="s">
        <v>32</v>
      </c>
      <c r="X263">
        <v>154.30000000000001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hidden="1" x14ac:dyDescent="0.3">
      <c r="A264" t="s">
        <v>33</v>
      </c>
      <c r="B264">
        <v>2020</v>
      </c>
      <c r="C264" t="s">
        <v>37</v>
      </c>
      <c r="D264">
        <v>151.80000000000001</v>
      </c>
      <c r="E264" t="s">
        <v>32</v>
      </c>
      <c r="F264">
        <v>151.9</v>
      </c>
      <c r="G264">
        <v>155.5</v>
      </c>
      <c r="H264">
        <v>131.6</v>
      </c>
      <c r="I264">
        <v>152.9</v>
      </c>
      <c r="J264">
        <v>180</v>
      </c>
      <c r="K264">
        <v>150.80000000000001</v>
      </c>
      <c r="L264">
        <v>121.2</v>
      </c>
      <c r="M264">
        <v>154</v>
      </c>
      <c r="N264">
        <v>133.5</v>
      </c>
      <c r="O264" t="s">
        <v>32</v>
      </c>
      <c r="P264">
        <v>153.5</v>
      </c>
      <c r="Q264" t="s">
        <v>32</v>
      </c>
      <c r="R264" t="s">
        <v>32</v>
      </c>
      <c r="S264" t="s">
        <v>32</v>
      </c>
      <c r="T264" t="s">
        <v>32</v>
      </c>
      <c r="U264">
        <v>155.6</v>
      </c>
      <c r="V264">
        <v>137.1</v>
      </c>
      <c r="W264" t="s">
        <v>32</v>
      </c>
      <c r="X264">
        <v>144.80000000000001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hidden="1" x14ac:dyDescent="0.3">
      <c r="A265" t="s">
        <v>34</v>
      </c>
      <c r="B265">
        <v>2020</v>
      </c>
      <c r="C265" t="s">
        <v>37</v>
      </c>
      <c r="D265">
        <v>148.69999999999999</v>
      </c>
      <c r="E265" t="s">
        <v>32</v>
      </c>
      <c r="F265">
        <v>148.80000000000001</v>
      </c>
      <c r="G265">
        <v>155.6</v>
      </c>
      <c r="H265">
        <v>135.1</v>
      </c>
      <c r="I265">
        <v>149.9</v>
      </c>
      <c r="J265">
        <v>168.6</v>
      </c>
      <c r="K265">
        <v>150.4</v>
      </c>
      <c r="L265">
        <v>120.3</v>
      </c>
      <c r="M265">
        <v>157.1</v>
      </c>
      <c r="N265">
        <v>136.80000000000001</v>
      </c>
      <c r="O265" t="s">
        <v>32</v>
      </c>
      <c r="P265">
        <v>151.4</v>
      </c>
      <c r="Q265" t="s">
        <v>32</v>
      </c>
      <c r="R265" t="s">
        <v>32</v>
      </c>
      <c r="S265" t="s">
        <v>32</v>
      </c>
      <c r="T265" t="s">
        <v>32</v>
      </c>
      <c r="U265">
        <v>155.6</v>
      </c>
      <c r="V265">
        <v>144.1</v>
      </c>
      <c r="W265" t="s">
        <v>32</v>
      </c>
      <c r="X265">
        <v>150.69999999999999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hidden="1" x14ac:dyDescent="0.3">
      <c r="A266" t="s">
        <v>30</v>
      </c>
      <c r="B266">
        <v>2020</v>
      </c>
      <c r="C266" t="s">
        <v>38</v>
      </c>
      <c r="D266" t="s">
        <v>32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  <c r="AC266" t="s">
        <v>32</v>
      </c>
      <c r="AD266" t="s">
        <v>32</v>
      </c>
    </row>
    <row r="267" spans="1:30" hidden="1" x14ac:dyDescent="0.3">
      <c r="A267" t="s">
        <v>33</v>
      </c>
      <c r="B267">
        <v>2020</v>
      </c>
      <c r="C267" t="s">
        <v>38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  <c r="AC267" t="s">
        <v>32</v>
      </c>
      <c r="AD267" t="s">
        <v>32</v>
      </c>
    </row>
    <row r="268" spans="1:30" hidden="1" x14ac:dyDescent="0.3">
      <c r="A268" t="s">
        <v>34</v>
      </c>
      <c r="B268">
        <v>2020</v>
      </c>
      <c r="C268" t="s">
        <v>38</v>
      </c>
      <c r="D268" t="s">
        <v>32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  <c r="AC268" t="s">
        <v>32</v>
      </c>
      <c r="AD268" t="s">
        <v>32</v>
      </c>
    </row>
    <row r="269" spans="1:30" hidden="1" x14ac:dyDescent="0.3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hidden="1" x14ac:dyDescent="0.3">
      <c r="A270" t="s">
        <v>33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hidden="1" x14ac:dyDescent="0.3">
      <c r="A271" t="s">
        <v>34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hidden="1" x14ac:dyDescent="0.3">
      <c r="A272" t="s">
        <v>30</v>
      </c>
      <c r="B272">
        <v>2020</v>
      </c>
      <c r="C272" t="s">
        <v>40</v>
      </c>
      <c r="D272">
        <v>148.19999999999999</v>
      </c>
      <c r="E272">
        <v>190.3</v>
      </c>
      <c r="F272">
        <v>149.4</v>
      </c>
      <c r="G272">
        <v>153.30000000000001</v>
      </c>
      <c r="H272">
        <v>138.19999999999999</v>
      </c>
      <c r="I272">
        <v>143.19999999999999</v>
      </c>
      <c r="J272">
        <v>148.9</v>
      </c>
      <c r="K272">
        <v>150.30000000000001</v>
      </c>
      <c r="L272">
        <v>113.2</v>
      </c>
      <c r="M272">
        <v>159.80000000000001</v>
      </c>
      <c r="N272">
        <v>142.1</v>
      </c>
      <c r="O272">
        <v>161.80000000000001</v>
      </c>
      <c r="P272">
        <v>152.30000000000001</v>
      </c>
      <c r="Q272">
        <v>182.4</v>
      </c>
      <c r="R272">
        <v>154.69999999999999</v>
      </c>
      <c r="S272">
        <v>150</v>
      </c>
      <c r="T272">
        <v>154.1</v>
      </c>
      <c r="U272" t="s">
        <v>32</v>
      </c>
      <c r="V272">
        <v>144.9</v>
      </c>
      <c r="W272">
        <v>151.69999999999999</v>
      </c>
      <c r="X272">
        <v>158.19999999999999</v>
      </c>
      <c r="Y272">
        <v>141.4</v>
      </c>
      <c r="Z272">
        <v>153.19999999999999</v>
      </c>
      <c r="AA272">
        <v>161.80000000000001</v>
      </c>
      <c r="AB272">
        <v>151.19999999999999</v>
      </c>
      <c r="AC272">
        <v>151.69999999999999</v>
      </c>
      <c r="AD272">
        <v>152.69999999999999</v>
      </c>
    </row>
    <row r="273" spans="1:30" hidden="1" x14ac:dyDescent="0.3">
      <c r="A273" t="s">
        <v>33</v>
      </c>
      <c r="B273">
        <v>2020</v>
      </c>
      <c r="C273" t="s">
        <v>40</v>
      </c>
      <c r="D273">
        <v>152.69999999999999</v>
      </c>
      <c r="E273">
        <v>197</v>
      </c>
      <c r="F273">
        <v>154.6</v>
      </c>
      <c r="G273">
        <v>153.4</v>
      </c>
      <c r="H273">
        <v>132.9</v>
      </c>
      <c r="I273">
        <v>151.80000000000001</v>
      </c>
      <c r="J273">
        <v>171.2</v>
      </c>
      <c r="K273">
        <v>152</v>
      </c>
      <c r="L273">
        <v>116.3</v>
      </c>
      <c r="M273">
        <v>158.80000000000001</v>
      </c>
      <c r="N273">
        <v>135.6</v>
      </c>
      <c r="O273">
        <v>161.69999999999999</v>
      </c>
      <c r="P273">
        <v>157</v>
      </c>
      <c r="Q273">
        <v>186.7</v>
      </c>
      <c r="R273">
        <v>149.1</v>
      </c>
      <c r="S273">
        <v>136.6</v>
      </c>
      <c r="T273">
        <v>147.19999999999999</v>
      </c>
      <c r="U273">
        <v>154.69999999999999</v>
      </c>
      <c r="V273">
        <v>137.1</v>
      </c>
      <c r="W273">
        <v>140.4</v>
      </c>
      <c r="X273">
        <v>148.1</v>
      </c>
      <c r="Y273">
        <v>129.30000000000001</v>
      </c>
      <c r="Z273">
        <v>144.5</v>
      </c>
      <c r="AA273">
        <v>152.5</v>
      </c>
      <c r="AB273">
        <v>152.19999999999999</v>
      </c>
      <c r="AC273">
        <v>142</v>
      </c>
      <c r="AD273">
        <v>150.80000000000001</v>
      </c>
    </row>
    <row r="274" spans="1:30" hidden="1" x14ac:dyDescent="0.3">
      <c r="A274" t="s">
        <v>34</v>
      </c>
      <c r="B274">
        <v>2020</v>
      </c>
      <c r="C274" t="s">
        <v>40</v>
      </c>
      <c r="D274">
        <v>149.6</v>
      </c>
      <c r="E274">
        <v>192.7</v>
      </c>
      <c r="F274">
        <v>151.4</v>
      </c>
      <c r="G274">
        <v>153.30000000000001</v>
      </c>
      <c r="H274">
        <v>136.30000000000001</v>
      </c>
      <c r="I274">
        <v>147.19999999999999</v>
      </c>
      <c r="J274">
        <v>156.5</v>
      </c>
      <c r="K274">
        <v>150.9</v>
      </c>
      <c r="L274">
        <v>114.2</v>
      </c>
      <c r="M274">
        <v>159.5</v>
      </c>
      <c r="N274">
        <v>139.4</v>
      </c>
      <c r="O274">
        <v>161.80000000000001</v>
      </c>
      <c r="P274">
        <v>154</v>
      </c>
      <c r="Q274">
        <v>183.5</v>
      </c>
      <c r="R274">
        <v>152.5</v>
      </c>
      <c r="S274">
        <v>144.4</v>
      </c>
      <c r="T274">
        <v>151.4</v>
      </c>
      <c r="U274">
        <v>154.69999999999999</v>
      </c>
      <c r="V274">
        <v>141.9</v>
      </c>
      <c r="W274">
        <v>146.4</v>
      </c>
      <c r="X274">
        <v>154.4</v>
      </c>
      <c r="Y274">
        <v>135</v>
      </c>
      <c r="Z274">
        <v>148.30000000000001</v>
      </c>
      <c r="AA274">
        <v>156.4</v>
      </c>
      <c r="AB274">
        <v>151.6</v>
      </c>
      <c r="AC274">
        <v>147</v>
      </c>
      <c r="AD274">
        <v>151.80000000000001</v>
      </c>
    </row>
    <row r="275" spans="1:30" hidden="1" x14ac:dyDescent="0.3">
      <c r="A275" t="s">
        <v>30</v>
      </c>
      <c r="B275">
        <v>2020</v>
      </c>
      <c r="C275" t="s">
        <v>41</v>
      </c>
      <c r="D275">
        <v>147.6</v>
      </c>
      <c r="E275">
        <v>187.2</v>
      </c>
      <c r="F275">
        <v>148.4</v>
      </c>
      <c r="G275">
        <v>153.30000000000001</v>
      </c>
      <c r="H275">
        <v>139.80000000000001</v>
      </c>
      <c r="I275">
        <v>146.9</v>
      </c>
      <c r="J275">
        <v>171</v>
      </c>
      <c r="K275">
        <v>149.9</v>
      </c>
      <c r="L275">
        <v>114.2</v>
      </c>
      <c r="M275">
        <v>160</v>
      </c>
      <c r="N275">
        <v>143.5</v>
      </c>
      <c r="O275">
        <v>161.5</v>
      </c>
      <c r="P275">
        <v>155.30000000000001</v>
      </c>
      <c r="Q275">
        <v>180.9</v>
      </c>
      <c r="R275">
        <v>155.1</v>
      </c>
      <c r="S275">
        <v>149.30000000000001</v>
      </c>
      <c r="T275">
        <v>154.30000000000001</v>
      </c>
      <c r="U275" t="s">
        <v>32</v>
      </c>
      <c r="V275">
        <v>145.80000000000001</v>
      </c>
      <c r="W275">
        <v>151.9</v>
      </c>
      <c r="X275">
        <v>158.80000000000001</v>
      </c>
      <c r="Y275">
        <v>143.6</v>
      </c>
      <c r="Z275">
        <v>152.19999999999999</v>
      </c>
      <c r="AA275">
        <v>162.69999999999999</v>
      </c>
      <c r="AB275">
        <v>153.6</v>
      </c>
      <c r="AC275">
        <v>153</v>
      </c>
      <c r="AD275">
        <v>154.69999999999999</v>
      </c>
    </row>
    <row r="276" spans="1:30" hidden="1" x14ac:dyDescent="0.3">
      <c r="A276" t="s">
        <v>33</v>
      </c>
      <c r="B276">
        <v>2020</v>
      </c>
      <c r="C276" t="s">
        <v>41</v>
      </c>
      <c r="D276">
        <v>151.6</v>
      </c>
      <c r="E276">
        <v>197.8</v>
      </c>
      <c r="F276">
        <v>154.5</v>
      </c>
      <c r="G276">
        <v>153.4</v>
      </c>
      <c r="H276">
        <v>133.4</v>
      </c>
      <c r="I276">
        <v>154.5</v>
      </c>
      <c r="J276">
        <v>191.9</v>
      </c>
      <c r="K276">
        <v>151.30000000000001</v>
      </c>
      <c r="L276">
        <v>116.8</v>
      </c>
      <c r="M276">
        <v>160</v>
      </c>
      <c r="N276">
        <v>136.5</v>
      </c>
      <c r="O276">
        <v>163.30000000000001</v>
      </c>
      <c r="P276">
        <v>159.9</v>
      </c>
      <c r="Q276">
        <v>187.2</v>
      </c>
      <c r="R276">
        <v>150</v>
      </c>
      <c r="S276">
        <v>135.19999999999999</v>
      </c>
      <c r="T276">
        <v>147.80000000000001</v>
      </c>
      <c r="U276">
        <v>155.5</v>
      </c>
      <c r="V276">
        <v>138.30000000000001</v>
      </c>
      <c r="W276">
        <v>144.5</v>
      </c>
      <c r="X276">
        <v>148.69999999999999</v>
      </c>
      <c r="Y276">
        <v>133.9</v>
      </c>
      <c r="Z276">
        <v>141.19999999999999</v>
      </c>
      <c r="AA276">
        <v>155.5</v>
      </c>
      <c r="AB276">
        <v>155.19999999999999</v>
      </c>
      <c r="AC276">
        <v>144.80000000000001</v>
      </c>
      <c r="AD276">
        <v>152.9</v>
      </c>
    </row>
    <row r="277" spans="1:30" hidden="1" x14ac:dyDescent="0.3">
      <c r="A277" t="s">
        <v>34</v>
      </c>
      <c r="B277">
        <v>2020</v>
      </c>
      <c r="C277" t="s">
        <v>41</v>
      </c>
      <c r="D277">
        <v>148.9</v>
      </c>
      <c r="E277">
        <v>190.9</v>
      </c>
      <c r="F277">
        <v>150.80000000000001</v>
      </c>
      <c r="G277">
        <v>153.30000000000001</v>
      </c>
      <c r="H277">
        <v>137.4</v>
      </c>
      <c r="I277">
        <v>150.4</v>
      </c>
      <c r="J277">
        <v>178.1</v>
      </c>
      <c r="K277">
        <v>150.4</v>
      </c>
      <c r="L277">
        <v>115.1</v>
      </c>
      <c r="M277">
        <v>160</v>
      </c>
      <c r="N277">
        <v>140.6</v>
      </c>
      <c r="O277">
        <v>162.30000000000001</v>
      </c>
      <c r="P277">
        <v>157</v>
      </c>
      <c r="Q277">
        <v>182.6</v>
      </c>
      <c r="R277">
        <v>153.1</v>
      </c>
      <c r="S277">
        <v>143.4</v>
      </c>
      <c r="T277">
        <v>151.69999999999999</v>
      </c>
      <c r="U277">
        <v>155.5</v>
      </c>
      <c r="V277">
        <v>143</v>
      </c>
      <c r="W277">
        <v>148.4</v>
      </c>
      <c r="X277">
        <v>155</v>
      </c>
      <c r="Y277">
        <v>138.5</v>
      </c>
      <c r="Z277">
        <v>146</v>
      </c>
      <c r="AA277">
        <v>158.5</v>
      </c>
      <c r="AB277">
        <v>154.30000000000001</v>
      </c>
      <c r="AC277">
        <v>149</v>
      </c>
      <c r="AD277">
        <v>153.9</v>
      </c>
    </row>
    <row r="278" spans="1:30" hidden="1" x14ac:dyDescent="0.3">
      <c r="A278" t="s">
        <v>30</v>
      </c>
      <c r="B278">
        <v>2020</v>
      </c>
      <c r="C278" t="s">
        <v>42</v>
      </c>
      <c r="D278">
        <v>146.9</v>
      </c>
      <c r="E278">
        <v>183.9</v>
      </c>
      <c r="F278">
        <v>149.5</v>
      </c>
      <c r="G278">
        <v>153.4</v>
      </c>
      <c r="H278">
        <v>140.4</v>
      </c>
      <c r="I278">
        <v>147</v>
      </c>
      <c r="J278">
        <v>178.8</v>
      </c>
      <c r="K278">
        <v>149.30000000000001</v>
      </c>
      <c r="L278">
        <v>115.1</v>
      </c>
      <c r="M278">
        <v>160</v>
      </c>
      <c r="N278">
        <v>145.4</v>
      </c>
      <c r="O278">
        <v>161.6</v>
      </c>
      <c r="P278">
        <v>156.1</v>
      </c>
      <c r="Q278">
        <v>182.9</v>
      </c>
      <c r="R278">
        <v>155.4</v>
      </c>
      <c r="S278">
        <v>149.9</v>
      </c>
      <c r="T278">
        <v>154.6</v>
      </c>
      <c r="U278" t="s">
        <v>32</v>
      </c>
      <c r="V278">
        <v>146.4</v>
      </c>
      <c r="W278">
        <v>151.6</v>
      </c>
      <c r="X278">
        <v>159.1</v>
      </c>
      <c r="Y278">
        <v>144.6</v>
      </c>
      <c r="Z278">
        <v>152.80000000000001</v>
      </c>
      <c r="AA278">
        <v>161.1</v>
      </c>
      <c r="AB278">
        <v>157.4</v>
      </c>
      <c r="AC278">
        <v>153.69999999999999</v>
      </c>
      <c r="AD278">
        <v>155.4</v>
      </c>
    </row>
    <row r="279" spans="1:30" hidden="1" x14ac:dyDescent="0.3">
      <c r="A279" t="s">
        <v>33</v>
      </c>
      <c r="B279">
        <v>2020</v>
      </c>
      <c r="C279" t="s">
        <v>42</v>
      </c>
      <c r="D279">
        <v>151.5</v>
      </c>
      <c r="E279">
        <v>193.1</v>
      </c>
      <c r="F279">
        <v>157.30000000000001</v>
      </c>
      <c r="G279">
        <v>153.9</v>
      </c>
      <c r="H279">
        <v>134.4</v>
      </c>
      <c r="I279">
        <v>155.4</v>
      </c>
      <c r="J279">
        <v>202</v>
      </c>
      <c r="K279">
        <v>150.80000000000001</v>
      </c>
      <c r="L279">
        <v>118.9</v>
      </c>
      <c r="M279">
        <v>160.9</v>
      </c>
      <c r="N279">
        <v>137.69999999999999</v>
      </c>
      <c r="O279">
        <v>164.4</v>
      </c>
      <c r="P279">
        <v>161.30000000000001</v>
      </c>
      <c r="Q279">
        <v>188.7</v>
      </c>
      <c r="R279">
        <v>150.19999999999999</v>
      </c>
      <c r="S279">
        <v>136.30000000000001</v>
      </c>
      <c r="T279">
        <v>148.1</v>
      </c>
      <c r="U279">
        <v>156.30000000000001</v>
      </c>
      <c r="V279">
        <v>137.19999999999999</v>
      </c>
      <c r="W279">
        <v>145.4</v>
      </c>
      <c r="X279">
        <v>150</v>
      </c>
      <c r="Y279">
        <v>135.1</v>
      </c>
      <c r="Z279">
        <v>141.80000000000001</v>
      </c>
      <c r="AA279">
        <v>154.9</v>
      </c>
      <c r="AB279">
        <v>159.80000000000001</v>
      </c>
      <c r="AC279">
        <v>146</v>
      </c>
      <c r="AD279">
        <v>154</v>
      </c>
    </row>
    <row r="280" spans="1:30" hidden="1" x14ac:dyDescent="0.3">
      <c r="A280" t="s">
        <v>34</v>
      </c>
      <c r="B280">
        <v>2020</v>
      </c>
      <c r="C280" t="s">
        <v>42</v>
      </c>
      <c r="D280">
        <v>148.4</v>
      </c>
      <c r="E280">
        <v>187.1</v>
      </c>
      <c r="F280">
        <v>152.5</v>
      </c>
      <c r="G280">
        <v>153.6</v>
      </c>
      <c r="H280">
        <v>138.19999999999999</v>
      </c>
      <c r="I280">
        <v>150.9</v>
      </c>
      <c r="J280">
        <v>186.7</v>
      </c>
      <c r="K280">
        <v>149.80000000000001</v>
      </c>
      <c r="L280">
        <v>116.4</v>
      </c>
      <c r="M280">
        <v>160.30000000000001</v>
      </c>
      <c r="N280">
        <v>142.19999999999999</v>
      </c>
      <c r="O280">
        <v>162.9</v>
      </c>
      <c r="P280">
        <v>158</v>
      </c>
      <c r="Q280">
        <v>184.4</v>
      </c>
      <c r="R280">
        <v>153.4</v>
      </c>
      <c r="S280">
        <v>144.30000000000001</v>
      </c>
      <c r="T280">
        <v>152</v>
      </c>
      <c r="U280">
        <v>156.30000000000001</v>
      </c>
      <c r="V280">
        <v>142.9</v>
      </c>
      <c r="W280">
        <v>148.69999999999999</v>
      </c>
      <c r="X280">
        <v>155.6</v>
      </c>
      <c r="Y280">
        <v>139.6</v>
      </c>
      <c r="Z280">
        <v>146.6</v>
      </c>
      <c r="AA280">
        <v>157.5</v>
      </c>
      <c r="AB280">
        <v>158.4</v>
      </c>
      <c r="AC280">
        <v>150</v>
      </c>
      <c r="AD280">
        <v>154.69999999999999</v>
      </c>
    </row>
    <row r="281" spans="1:30" hidden="1" x14ac:dyDescent="0.3">
      <c r="A281" t="s">
        <v>30</v>
      </c>
      <c r="B281">
        <v>2020</v>
      </c>
      <c r="C281" t="s">
        <v>43</v>
      </c>
      <c r="D281">
        <v>146</v>
      </c>
      <c r="E281">
        <v>186.3</v>
      </c>
      <c r="F281">
        <v>159.19999999999999</v>
      </c>
      <c r="G281">
        <v>153.6</v>
      </c>
      <c r="H281">
        <v>142.6</v>
      </c>
      <c r="I281">
        <v>147.19999999999999</v>
      </c>
      <c r="J281">
        <v>200.6</v>
      </c>
      <c r="K281">
        <v>150.30000000000001</v>
      </c>
      <c r="L281">
        <v>115.3</v>
      </c>
      <c r="M281">
        <v>160.9</v>
      </c>
      <c r="N281">
        <v>147.4</v>
      </c>
      <c r="O281">
        <v>161.9</v>
      </c>
      <c r="P281">
        <v>159.6</v>
      </c>
      <c r="Q281">
        <v>182.7</v>
      </c>
      <c r="R281">
        <v>155.69999999999999</v>
      </c>
      <c r="S281">
        <v>150.6</v>
      </c>
      <c r="T281">
        <v>155</v>
      </c>
      <c r="U281" t="s">
        <v>32</v>
      </c>
      <c r="V281">
        <v>146.80000000000001</v>
      </c>
      <c r="W281">
        <v>152</v>
      </c>
      <c r="X281">
        <v>159.5</v>
      </c>
      <c r="Y281">
        <v>146.4</v>
      </c>
      <c r="Z281">
        <v>152.4</v>
      </c>
      <c r="AA281">
        <v>162.5</v>
      </c>
      <c r="AB281">
        <v>156.19999999999999</v>
      </c>
      <c r="AC281">
        <v>154.30000000000001</v>
      </c>
      <c r="AD281">
        <v>157.5</v>
      </c>
    </row>
    <row r="282" spans="1:30" hidden="1" x14ac:dyDescent="0.3">
      <c r="A282" t="s">
        <v>33</v>
      </c>
      <c r="B282">
        <v>2020</v>
      </c>
      <c r="C282" t="s">
        <v>43</v>
      </c>
      <c r="D282">
        <v>150.6</v>
      </c>
      <c r="E282">
        <v>193.7</v>
      </c>
      <c r="F282">
        <v>164.8</v>
      </c>
      <c r="G282">
        <v>153.69999999999999</v>
      </c>
      <c r="H282">
        <v>135.69999999999999</v>
      </c>
      <c r="I282">
        <v>155.69999999999999</v>
      </c>
      <c r="J282">
        <v>226</v>
      </c>
      <c r="K282">
        <v>152.19999999999999</v>
      </c>
      <c r="L282">
        <v>118.1</v>
      </c>
      <c r="M282">
        <v>161.30000000000001</v>
      </c>
      <c r="N282">
        <v>139.19999999999999</v>
      </c>
      <c r="O282">
        <v>164.8</v>
      </c>
      <c r="P282">
        <v>164.4</v>
      </c>
      <c r="Q282">
        <v>188.7</v>
      </c>
      <c r="R282">
        <v>150.5</v>
      </c>
      <c r="S282">
        <v>136.1</v>
      </c>
      <c r="T282">
        <v>148.30000000000001</v>
      </c>
      <c r="U282">
        <v>156.5</v>
      </c>
      <c r="V282">
        <v>137.1</v>
      </c>
      <c r="W282">
        <v>145.1</v>
      </c>
      <c r="X282">
        <v>151</v>
      </c>
      <c r="Y282">
        <v>135.4</v>
      </c>
      <c r="Z282">
        <v>142</v>
      </c>
      <c r="AA282">
        <v>155.69999999999999</v>
      </c>
      <c r="AB282">
        <v>158.1</v>
      </c>
      <c r="AC282">
        <v>146.19999999999999</v>
      </c>
      <c r="AD282">
        <v>155.19999999999999</v>
      </c>
    </row>
    <row r="283" spans="1:30" hidden="1" x14ac:dyDescent="0.3">
      <c r="A283" t="s">
        <v>34</v>
      </c>
      <c r="B283">
        <v>2020</v>
      </c>
      <c r="C283" t="s">
        <v>43</v>
      </c>
      <c r="D283">
        <v>147.5</v>
      </c>
      <c r="E283">
        <v>188.9</v>
      </c>
      <c r="F283">
        <v>161.4</v>
      </c>
      <c r="G283">
        <v>153.6</v>
      </c>
      <c r="H283">
        <v>140.1</v>
      </c>
      <c r="I283">
        <v>151.19999999999999</v>
      </c>
      <c r="J283">
        <v>209.2</v>
      </c>
      <c r="K283">
        <v>150.9</v>
      </c>
      <c r="L283">
        <v>116.2</v>
      </c>
      <c r="M283">
        <v>161</v>
      </c>
      <c r="N283">
        <v>144</v>
      </c>
      <c r="O283">
        <v>163.19999999999999</v>
      </c>
      <c r="P283">
        <v>161.4</v>
      </c>
      <c r="Q283">
        <v>184.3</v>
      </c>
      <c r="R283">
        <v>153.69999999999999</v>
      </c>
      <c r="S283">
        <v>144.6</v>
      </c>
      <c r="T283">
        <v>152.30000000000001</v>
      </c>
      <c r="U283">
        <v>156.5</v>
      </c>
      <c r="V283">
        <v>143.1</v>
      </c>
      <c r="W283">
        <v>148.69999999999999</v>
      </c>
      <c r="X283">
        <v>156.30000000000001</v>
      </c>
      <c r="Y283">
        <v>140.6</v>
      </c>
      <c r="Z283">
        <v>146.5</v>
      </c>
      <c r="AA283">
        <v>158.5</v>
      </c>
      <c r="AB283">
        <v>157</v>
      </c>
      <c r="AC283">
        <v>150.4</v>
      </c>
      <c r="AD283">
        <v>156.4</v>
      </c>
    </row>
    <row r="284" spans="1:30" hidden="1" x14ac:dyDescent="0.3">
      <c r="A284" t="s">
        <v>30</v>
      </c>
      <c r="B284">
        <v>2020</v>
      </c>
      <c r="C284" t="s">
        <v>45</v>
      </c>
      <c r="D284">
        <v>145.4</v>
      </c>
      <c r="E284">
        <v>188.6</v>
      </c>
      <c r="F284">
        <v>171.6</v>
      </c>
      <c r="G284">
        <v>153.80000000000001</v>
      </c>
      <c r="H284">
        <v>145.4</v>
      </c>
      <c r="I284">
        <v>146.5</v>
      </c>
      <c r="J284">
        <v>222.2</v>
      </c>
      <c r="K284">
        <v>155.9</v>
      </c>
      <c r="L284">
        <v>114.9</v>
      </c>
      <c r="M284">
        <v>162</v>
      </c>
      <c r="N284">
        <v>150</v>
      </c>
      <c r="O284">
        <v>162.69999999999999</v>
      </c>
      <c r="P284">
        <v>163.4</v>
      </c>
      <c r="Q284">
        <v>183.4</v>
      </c>
      <c r="R284">
        <v>156.30000000000001</v>
      </c>
      <c r="S284">
        <v>151</v>
      </c>
      <c r="T284">
        <v>155.5</v>
      </c>
      <c r="U284" t="s">
        <v>32</v>
      </c>
      <c r="V284">
        <v>147.5</v>
      </c>
      <c r="W284">
        <v>152.80000000000001</v>
      </c>
      <c r="X284">
        <v>160.4</v>
      </c>
      <c r="Y284">
        <v>146.1</v>
      </c>
      <c r="Z284">
        <v>153.6</v>
      </c>
      <c r="AA284">
        <v>161.6</v>
      </c>
      <c r="AB284">
        <v>156.19999999999999</v>
      </c>
      <c r="AC284">
        <v>154.5</v>
      </c>
      <c r="AD284">
        <v>159.80000000000001</v>
      </c>
    </row>
    <row r="285" spans="1:30" hidden="1" x14ac:dyDescent="0.3">
      <c r="A285" t="s">
        <v>33</v>
      </c>
      <c r="B285">
        <v>2020</v>
      </c>
      <c r="C285" t="s">
        <v>45</v>
      </c>
      <c r="D285">
        <v>149.69999999999999</v>
      </c>
      <c r="E285">
        <v>195.5</v>
      </c>
      <c r="F285">
        <v>176.9</v>
      </c>
      <c r="G285">
        <v>153.9</v>
      </c>
      <c r="H285">
        <v>138</v>
      </c>
      <c r="I285">
        <v>150.5</v>
      </c>
      <c r="J285">
        <v>245.3</v>
      </c>
      <c r="K285">
        <v>158.69999999999999</v>
      </c>
      <c r="L285">
        <v>117.2</v>
      </c>
      <c r="M285">
        <v>161.4</v>
      </c>
      <c r="N285">
        <v>141.5</v>
      </c>
      <c r="O285">
        <v>165.1</v>
      </c>
      <c r="P285">
        <v>167</v>
      </c>
      <c r="Q285">
        <v>188.8</v>
      </c>
      <c r="R285">
        <v>151.1</v>
      </c>
      <c r="S285">
        <v>136.4</v>
      </c>
      <c r="T285">
        <v>148.80000000000001</v>
      </c>
      <c r="U285">
        <v>158</v>
      </c>
      <c r="V285">
        <v>137.30000000000001</v>
      </c>
      <c r="W285">
        <v>145.1</v>
      </c>
      <c r="X285">
        <v>152</v>
      </c>
      <c r="Y285">
        <v>135.19999999999999</v>
      </c>
      <c r="Z285">
        <v>144.4</v>
      </c>
      <c r="AA285">
        <v>156.4</v>
      </c>
      <c r="AB285">
        <v>157.9</v>
      </c>
      <c r="AC285">
        <v>146.6</v>
      </c>
      <c r="AD285">
        <v>156.69999999999999</v>
      </c>
    </row>
    <row r="286" spans="1:30" hidden="1" x14ac:dyDescent="0.3">
      <c r="A286" t="s">
        <v>34</v>
      </c>
      <c r="B286">
        <v>2020</v>
      </c>
      <c r="C286" t="s">
        <v>45</v>
      </c>
      <c r="D286">
        <v>146.80000000000001</v>
      </c>
      <c r="E286">
        <v>191</v>
      </c>
      <c r="F286">
        <v>173.6</v>
      </c>
      <c r="G286">
        <v>153.80000000000001</v>
      </c>
      <c r="H286">
        <v>142.69999999999999</v>
      </c>
      <c r="I286">
        <v>148.4</v>
      </c>
      <c r="J286">
        <v>230</v>
      </c>
      <c r="K286">
        <v>156.80000000000001</v>
      </c>
      <c r="L286">
        <v>115.7</v>
      </c>
      <c r="M286">
        <v>161.80000000000001</v>
      </c>
      <c r="N286">
        <v>146.5</v>
      </c>
      <c r="O286">
        <v>163.80000000000001</v>
      </c>
      <c r="P286">
        <v>164.7</v>
      </c>
      <c r="Q286">
        <v>184.8</v>
      </c>
      <c r="R286">
        <v>154.30000000000001</v>
      </c>
      <c r="S286">
        <v>144.9</v>
      </c>
      <c r="T286">
        <v>152.80000000000001</v>
      </c>
      <c r="U286">
        <v>158</v>
      </c>
      <c r="V286">
        <v>143.6</v>
      </c>
      <c r="W286">
        <v>149.19999999999999</v>
      </c>
      <c r="X286">
        <v>157.19999999999999</v>
      </c>
      <c r="Y286">
        <v>140.4</v>
      </c>
      <c r="Z286">
        <v>148.4</v>
      </c>
      <c r="AA286">
        <v>158.6</v>
      </c>
      <c r="AB286">
        <v>156.9</v>
      </c>
      <c r="AC286">
        <v>150.69999999999999</v>
      </c>
      <c r="AD286">
        <v>158.4</v>
      </c>
    </row>
    <row r="287" spans="1:30" hidden="1" x14ac:dyDescent="0.3">
      <c r="A287" t="s">
        <v>30</v>
      </c>
      <c r="B287">
        <v>2020</v>
      </c>
      <c r="C287" t="s">
        <v>46</v>
      </c>
      <c r="D287">
        <v>144.6</v>
      </c>
      <c r="E287">
        <v>188.5</v>
      </c>
      <c r="F287">
        <v>173.4</v>
      </c>
      <c r="G287">
        <v>154</v>
      </c>
      <c r="H287">
        <v>150</v>
      </c>
      <c r="I287">
        <v>145.9</v>
      </c>
      <c r="J287">
        <v>225.2</v>
      </c>
      <c r="K287">
        <v>159.5</v>
      </c>
      <c r="L287">
        <v>114.4</v>
      </c>
      <c r="M287">
        <v>163.5</v>
      </c>
      <c r="N287">
        <v>153.4</v>
      </c>
      <c r="O287">
        <v>163.6</v>
      </c>
      <c r="P287">
        <v>164.5</v>
      </c>
      <c r="Q287">
        <v>183.6</v>
      </c>
      <c r="R287">
        <v>157</v>
      </c>
      <c r="S287">
        <v>151.6</v>
      </c>
      <c r="T287">
        <v>156.30000000000001</v>
      </c>
      <c r="U287" t="s">
        <v>32</v>
      </c>
      <c r="V287">
        <v>148.69999999999999</v>
      </c>
      <c r="W287">
        <v>153.4</v>
      </c>
      <c r="X287">
        <v>161.6</v>
      </c>
      <c r="Y287">
        <v>146.4</v>
      </c>
      <c r="Z287">
        <v>153.9</v>
      </c>
      <c r="AA287">
        <v>162.9</v>
      </c>
      <c r="AB287">
        <v>156.6</v>
      </c>
      <c r="AC287">
        <v>155.19999999999999</v>
      </c>
      <c r="AD287">
        <v>160.69999999999999</v>
      </c>
    </row>
    <row r="288" spans="1:30" hidden="1" x14ac:dyDescent="0.3">
      <c r="A288" t="s">
        <v>33</v>
      </c>
      <c r="B288">
        <v>2020</v>
      </c>
      <c r="C288" t="s">
        <v>46</v>
      </c>
      <c r="D288">
        <v>149</v>
      </c>
      <c r="E288">
        <v>195.7</v>
      </c>
      <c r="F288">
        <v>178.3</v>
      </c>
      <c r="G288">
        <v>154.19999999999999</v>
      </c>
      <c r="H288">
        <v>140.69999999999999</v>
      </c>
      <c r="I288">
        <v>149.69999999999999</v>
      </c>
      <c r="J288">
        <v>240.9</v>
      </c>
      <c r="K288">
        <v>161.5</v>
      </c>
      <c r="L288">
        <v>117.1</v>
      </c>
      <c r="M288">
        <v>161.9</v>
      </c>
      <c r="N288">
        <v>143.30000000000001</v>
      </c>
      <c r="O288">
        <v>166.1</v>
      </c>
      <c r="P288">
        <v>167</v>
      </c>
      <c r="Q288">
        <v>190.2</v>
      </c>
      <c r="R288">
        <v>151.9</v>
      </c>
      <c r="S288">
        <v>136.69999999999999</v>
      </c>
      <c r="T288">
        <v>149.6</v>
      </c>
      <c r="U288">
        <v>158.4</v>
      </c>
      <c r="V288">
        <v>137.9</v>
      </c>
      <c r="W288">
        <v>145.5</v>
      </c>
      <c r="X288">
        <v>152.9</v>
      </c>
      <c r="Y288">
        <v>135.5</v>
      </c>
      <c r="Z288">
        <v>144.30000000000001</v>
      </c>
      <c r="AA288">
        <v>156.9</v>
      </c>
      <c r="AB288">
        <v>157.9</v>
      </c>
      <c r="AC288">
        <v>146.9</v>
      </c>
      <c r="AD288">
        <v>156.9</v>
      </c>
    </row>
    <row r="289" spans="1:30" hidden="1" x14ac:dyDescent="0.3">
      <c r="A289" t="s">
        <v>34</v>
      </c>
      <c r="B289">
        <v>2020</v>
      </c>
      <c r="C289" t="s">
        <v>46</v>
      </c>
      <c r="D289">
        <v>146</v>
      </c>
      <c r="E289">
        <v>191</v>
      </c>
      <c r="F289">
        <v>175.3</v>
      </c>
      <c r="G289">
        <v>154.1</v>
      </c>
      <c r="H289">
        <v>146.6</v>
      </c>
      <c r="I289">
        <v>147.69999999999999</v>
      </c>
      <c r="J289">
        <v>230.5</v>
      </c>
      <c r="K289">
        <v>160.19999999999999</v>
      </c>
      <c r="L289">
        <v>115.3</v>
      </c>
      <c r="M289">
        <v>163</v>
      </c>
      <c r="N289">
        <v>149.19999999999999</v>
      </c>
      <c r="O289">
        <v>164.8</v>
      </c>
      <c r="P289">
        <v>165.4</v>
      </c>
      <c r="Q289">
        <v>185.4</v>
      </c>
      <c r="R289">
        <v>155</v>
      </c>
      <c r="S289">
        <v>145.4</v>
      </c>
      <c r="T289">
        <v>153.6</v>
      </c>
      <c r="U289">
        <v>158.4</v>
      </c>
      <c r="V289">
        <v>144.6</v>
      </c>
      <c r="W289">
        <v>149.69999999999999</v>
      </c>
      <c r="X289">
        <v>158.30000000000001</v>
      </c>
      <c r="Y289">
        <v>140.69999999999999</v>
      </c>
      <c r="Z289">
        <v>148.5</v>
      </c>
      <c r="AA289">
        <v>159.4</v>
      </c>
      <c r="AB289">
        <v>157.1</v>
      </c>
      <c r="AC289">
        <v>151.19999999999999</v>
      </c>
      <c r="AD289">
        <v>158.9</v>
      </c>
    </row>
    <row r="290" spans="1:30" x14ac:dyDescent="0.3">
      <c r="A290" t="s">
        <v>30</v>
      </c>
      <c r="B290">
        <v>2021</v>
      </c>
      <c r="C290" t="s">
        <v>31</v>
      </c>
      <c r="D290">
        <v>143.4</v>
      </c>
      <c r="E290">
        <v>187.5</v>
      </c>
      <c r="F290">
        <v>173.4</v>
      </c>
      <c r="G290">
        <v>154</v>
      </c>
      <c r="H290">
        <v>154.80000000000001</v>
      </c>
      <c r="I290">
        <v>147</v>
      </c>
      <c r="J290">
        <v>187.8</v>
      </c>
      <c r="K290">
        <v>159.5</v>
      </c>
      <c r="L290">
        <v>113.8</v>
      </c>
      <c r="M290">
        <v>164.5</v>
      </c>
      <c r="N290">
        <v>156.1</v>
      </c>
      <c r="O290">
        <v>164.3</v>
      </c>
      <c r="P290">
        <v>159.6</v>
      </c>
      <c r="Q290">
        <v>184.6</v>
      </c>
      <c r="R290">
        <v>157.5</v>
      </c>
      <c r="S290">
        <v>152.4</v>
      </c>
      <c r="T290">
        <v>156.80000000000001</v>
      </c>
      <c r="U290" t="s">
        <v>32</v>
      </c>
      <c r="V290">
        <v>150.9</v>
      </c>
      <c r="W290">
        <v>153.9</v>
      </c>
      <c r="X290">
        <v>162.5</v>
      </c>
      <c r="Y290">
        <v>147.5</v>
      </c>
      <c r="Z290">
        <v>155.1</v>
      </c>
      <c r="AA290">
        <v>163.5</v>
      </c>
      <c r="AB290">
        <v>156.19999999999999</v>
      </c>
      <c r="AC290">
        <v>155.9</v>
      </c>
      <c r="AD290">
        <v>158.5</v>
      </c>
    </row>
    <row r="291" spans="1:30" x14ac:dyDescent="0.3">
      <c r="A291" t="s">
        <v>33</v>
      </c>
      <c r="B291">
        <v>2021</v>
      </c>
      <c r="C291" t="s">
        <v>31</v>
      </c>
      <c r="D291">
        <v>148</v>
      </c>
      <c r="E291">
        <v>194.8</v>
      </c>
      <c r="F291">
        <v>178.4</v>
      </c>
      <c r="G291">
        <v>154.4</v>
      </c>
      <c r="H291">
        <v>144.1</v>
      </c>
      <c r="I291">
        <v>152.6</v>
      </c>
      <c r="J291">
        <v>206.8</v>
      </c>
      <c r="K291">
        <v>162.1</v>
      </c>
      <c r="L291">
        <v>116.3</v>
      </c>
      <c r="M291">
        <v>163</v>
      </c>
      <c r="N291">
        <v>145.9</v>
      </c>
      <c r="O291">
        <v>167.2</v>
      </c>
      <c r="P291">
        <v>163.4</v>
      </c>
      <c r="Q291">
        <v>191.8</v>
      </c>
      <c r="R291">
        <v>152.5</v>
      </c>
      <c r="S291">
        <v>137.30000000000001</v>
      </c>
      <c r="T291">
        <v>150.19999999999999</v>
      </c>
      <c r="U291">
        <v>157.69999999999999</v>
      </c>
      <c r="V291">
        <v>142.9</v>
      </c>
      <c r="W291">
        <v>145.69999999999999</v>
      </c>
      <c r="X291">
        <v>154.1</v>
      </c>
      <c r="Y291">
        <v>136.9</v>
      </c>
      <c r="Z291">
        <v>145.4</v>
      </c>
      <c r="AA291">
        <v>156.1</v>
      </c>
      <c r="AB291">
        <v>157.69999999999999</v>
      </c>
      <c r="AC291">
        <v>147.6</v>
      </c>
      <c r="AD291">
        <v>156</v>
      </c>
    </row>
    <row r="292" spans="1:30" x14ac:dyDescent="0.3">
      <c r="A292" t="s">
        <v>34</v>
      </c>
      <c r="B292">
        <v>2021</v>
      </c>
      <c r="C292" t="s">
        <v>31</v>
      </c>
      <c r="D292">
        <v>144.9</v>
      </c>
      <c r="E292">
        <v>190.1</v>
      </c>
      <c r="F292">
        <v>175.3</v>
      </c>
      <c r="G292">
        <v>154.1</v>
      </c>
      <c r="H292">
        <v>150.9</v>
      </c>
      <c r="I292">
        <v>149.6</v>
      </c>
      <c r="J292">
        <v>194.2</v>
      </c>
      <c r="K292">
        <v>160.4</v>
      </c>
      <c r="L292">
        <v>114.6</v>
      </c>
      <c r="M292">
        <v>164</v>
      </c>
      <c r="N292">
        <v>151.80000000000001</v>
      </c>
      <c r="O292">
        <v>165.6</v>
      </c>
      <c r="P292">
        <v>161</v>
      </c>
      <c r="Q292">
        <v>186.5</v>
      </c>
      <c r="R292">
        <v>155.5</v>
      </c>
      <c r="S292">
        <v>146.1</v>
      </c>
      <c r="T292">
        <v>154.19999999999999</v>
      </c>
      <c r="U292">
        <v>157.69999999999999</v>
      </c>
      <c r="V292">
        <v>147.9</v>
      </c>
      <c r="W292">
        <v>150</v>
      </c>
      <c r="X292">
        <v>159.30000000000001</v>
      </c>
      <c r="Y292">
        <v>141.9</v>
      </c>
      <c r="Z292">
        <v>149.6</v>
      </c>
      <c r="AA292">
        <v>159.19999999999999</v>
      </c>
      <c r="AB292">
        <v>156.80000000000001</v>
      </c>
      <c r="AC292">
        <v>151.9</v>
      </c>
      <c r="AD292">
        <v>157.30000000000001</v>
      </c>
    </row>
    <row r="293" spans="1:30" x14ac:dyDescent="0.3">
      <c r="A293" t="s">
        <v>30</v>
      </c>
      <c r="B293">
        <v>2021</v>
      </c>
      <c r="C293" t="s">
        <v>35</v>
      </c>
      <c r="D293">
        <v>142.80000000000001</v>
      </c>
      <c r="E293">
        <v>184</v>
      </c>
      <c r="F293">
        <v>168</v>
      </c>
      <c r="G293">
        <v>154.4</v>
      </c>
      <c r="H293">
        <v>163</v>
      </c>
      <c r="I293">
        <v>147.80000000000001</v>
      </c>
      <c r="J293">
        <v>149.69999999999999</v>
      </c>
      <c r="K293">
        <v>158.30000000000001</v>
      </c>
      <c r="L293">
        <v>111.8</v>
      </c>
      <c r="M293">
        <v>165</v>
      </c>
      <c r="N293">
        <v>160</v>
      </c>
      <c r="O293">
        <v>165.8</v>
      </c>
      <c r="P293">
        <v>154.69999999999999</v>
      </c>
      <c r="Q293">
        <v>186.5</v>
      </c>
      <c r="R293">
        <v>159.1</v>
      </c>
      <c r="S293">
        <v>153.9</v>
      </c>
      <c r="T293">
        <v>158.4</v>
      </c>
      <c r="U293" t="s">
        <v>32</v>
      </c>
      <c r="V293">
        <v>154.4</v>
      </c>
      <c r="W293">
        <v>154.80000000000001</v>
      </c>
      <c r="X293">
        <v>164.3</v>
      </c>
      <c r="Y293">
        <v>150.19999999999999</v>
      </c>
      <c r="Z293">
        <v>157</v>
      </c>
      <c r="AA293">
        <v>163.6</v>
      </c>
      <c r="AB293">
        <v>155.19999999999999</v>
      </c>
      <c r="AC293">
        <v>157.19999999999999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35</v>
      </c>
      <c r="D294">
        <v>147.6</v>
      </c>
      <c r="E294">
        <v>191.2</v>
      </c>
      <c r="F294">
        <v>169.9</v>
      </c>
      <c r="G294">
        <v>155.1</v>
      </c>
      <c r="H294">
        <v>151.4</v>
      </c>
      <c r="I294">
        <v>154</v>
      </c>
      <c r="J294">
        <v>180.2</v>
      </c>
      <c r="K294">
        <v>159.80000000000001</v>
      </c>
      <c r="L294">
        <v>114.9</v>
      </c>
      <c r="M294">
        <v>162.5</v>
      </c>
      <c r="N294">
        <v>149.19999999999999</v>
      </c>
      <c r="O294">
        <v>169.4</v>
      </c>
      <c r="P294">
        <v>160.80000000000001</v>
      </c>
      <c r="Q294">
        <v>193.3</v>
      </c>
      <c r="R294">
        <v>154.19999999999999</v>
      </c>
      <c r="S294">
        <v>138.19999999999999</v>
      </c>
      <c r="T294">
        <v>151.80000000000001</v>
      </c>
      <c r="U294">
        <v>159.80000000000001</v>
      </c>
      <c r="V294">
        <v>149.1</v>
      </c>
      <c r="W294">
        <v>146.5</v>
      </c>
      <c r="X294">
        <v>156.30000000000001</v>
      </c>
      <c r="Y294">
        <v>140.5</v>
      </c>
      <c r="Z294">
        <v>147.30000000000001</v>
      </c>
      <c r="AA294">
        <v>156.6</v>
      </c>
      <c r="AB294">
        <v>156.69999999999999</v>
      </c>
      <c r="AC294">
        <v>149.30000000000001</v>
      </c>
      <c r="AD294">
        <v>156.5</v>
      </c>
    </row>
    <row r="295" spans="1:30" x14ac:dyDescent="0.3">
      <c r="A295" t="s">
        <v>34</v>
      </c>
      <c r="B295">
        <v>2021</v>
      </c>
      <c r="C295" t="s">
        <v>35</v>
      </c>
      <c r="D295">
        <v>144.30000000000001</v>
      </c>
      <c r="E295">
        <v>186.5</v>
      </c>
      <c r="F295">
        <v>168.7</v>
      </c>
      <c r="G295">
        <v>154.69999999999999</v>
      </c>
      <c r="H295">
        <v>158.69999999999999</v>
      </c>
      <c r="I295">
        <v>150.69999999999999</v>
      </c>
      <c r="J295">
        <v>160</v>
      </c>
      <c r="K295">
        <v>158.80000000000001</v>
      </c>
      <c r="L295">
        <v>112.8</v>
      </c>
      <c r="M295">
        <v>164.2</v>
      </c>
      <c r="N295">
        <v>155.5</v>
      </c>
      <c r="O295">
        <v>167.5</v>
      </c>
      <c r="P295">
        <v>156.9</v>
      </c>
      <c r="Q295">
        <v>188.3</v>
      </c>
      <c r="R295">
        <v>157.19999999999999</v>
      </c>
      <c r="S295">
        <v>147.4</v>
      </c>
      <c r="T295">
        <v>155.80000000000001</v>
      </c>
      <c r="U295">
        <v>159.80000000000001</v>
      </c>
      <c r="V295">
        <v>152.4</v>
      </c>
      <c r="W295">
        <v>150.9</v>
      </c>
      <c r="X295">
        <v>161.30000000000001</v>
      </c>
      <c r="Y295">
        <v>145.1</v>
      </c>
      <c r="Z295">
        <v>151.5</v>
      </c>
      <c r="AA295">
        <v>159.5</v>
      </c>
      <c r="AB295">
        <v>155.80000000000001</v>
      </c>
      <c r="AC295">
        <v>153.4</v>
      </c>
      <c r="AD295">
        <v>156.6</v>
      </c>
    </row>
    <row r="296" spans="1:30" x14ac:dyDescent="0.3">
      <c r="A296" t="s">
        <v>30</v>
      </c>
      <c r="B296">
        <v>2021</v>
      </c>
      <c r="C296" t="s">
        <v>36</v>
      </c>
      <c r="D296">
        <v>142.5</v>
      </c>
      <c r="E296">
        <v>189.4</v>
      </c>
      <c r="F296">
        <v>163.19999999999999</v>
      </c>
      <c r="G296">
        <v>154.5</v>
      </c>
      <c r="H296">
        <v>168.2</v>
      </c>
      <c r="I296">
        <v>150.5</v>
      </c>
      <c r="J296">
        <v>141</v>
      </c>
      <c r="K296">
        <v>159.19999999999999</v>
      </c>
      <c r="L296">
        <v>111.7</v>
      </c>
      <c r="M296">
        <v>164</v>
      </c>
      <c r="N296">
        <v>160.6</v>
      </c>
      <c r="O296">
        <v>166.4</v>
      </c>
      <c r="P296">
        <v>154.5</v>
      </c>
      <c r="Q296">
        <v>186.1</v>
      </c>
      <c r="R296">
        <v>159.6</v>
      </c>
      <c r="S296">
        <v>154.4</v>
      </c>
      <c r="T296">
        <v>158.9</v>
      </c>
      <c r="U296" t="s">
        <v>48</v>
      </c>
      <c r="V296">
        <v>156</v>
      </c>
      <c r="W296">
        <v>154.80000000000001</v>
      </c>
      <c r="X296">
        <v>164.6</v>
      </c>
      <c r="Y296">
        <v>151.30000000000001</v>
      </c>
      <c r="Z296">
        <v>157.80000000000001</v>
      </c>
      <c r="AA296">
        <v>163.80000000000001</v>
      </c>
      <c r="AB296">
        <v>153.1</v>
      </c>
      <c r="AC296">
        <v>157.30000000000001</v>
      </c>
      <c r="AD296">
        <v>156.69999999999999</v>
      </c>
    </row>
    <row r="297" spans="1:30" x14ac:dyDescent="0.3">
      <c r="A297" t="s">
        <v>33</v>
      </c>
      <c r="B297">
        <v>2021</v>
      </c>
      <c r="C297" t="s">
        <v>36</v>
      </c>
      <c r="D297">
        <v>147.5</v>
      </c>
      <c r="E297">
        <v>197.5</v>
      </c>
      <c r="F297">
        <v>164.7</v>
      </c>
      <c r="G297">
        <v>155.6</v>
      </c>
      <c r="H297">
        <v>156.4</v>
      </c>
      <c r="I297">
        <v>157.30000000000001</v>
      </c>
      <c r="J297">
        <v>166.1</v>
      </c>
      <c r="K297">
        <v>161.1</v>
      </c>
      <c r="L297">
        <v>114.3</v>
      </c>
      <c r="M297">
        <v>162.6</v>
      </c>
      <c r="N297">
        <v>150.69999999999999</v>
      </c>
      <c r="O297">
        <v>170.3</v>
      </c>
      <c r="P297">
        <v>160.4</v>
      </c>
      <c r="Q297">
        <v>193.5</v>
      </c>
      <c r="R297">
        <v>155.1</v>
      </c>
      <c r="S297">
        <v>138.69999999999999</v>
      </c>
      <c r="T297">
        <v>152.6</v>
      </c>
      <c r="U297">
        <v>159.9</v>
      </c>
      <c r="V297">
        <v>154.80000000000001</v>
      </c>
      <c r="W297">
        <v>147.19999999999999</v>
      </c>
      <c r="X297">
        <v>156.9</v>
      </c>
      <c r="Y297">
        <v>141.69999999999999</v>
      </c>
      <c r="Z297">
        <v>148.6</v>
      </c>
      <c r="AA297">
        <v>157.6</v>
      </c>
      <c r="AB297">
        <v>154.9</v>
      </c>
      <c r="AC297">
        <v>150</v>
      </c>
      <c r="AD297">
        <v>156.9</v>
      </c>
    </row>
    <row r="298" spans="1:30" x14ac:dyDescent="0.3">
      <c r="A298" t="s">
        <v>34</v>
      </c>
      <c r="B298">
        <v>2021</v>
      </c>
      <c r="C298" t="s">
        <v>36</v>
      </c>
      <c r="D298">
        <v>144.1</v>
      </c>
      <c r="E298">
        <v>192.2</v>
      </c>
      <c r="F298">
        <v>163.80000000000001</v>
      </c>
      <c r="G298">
        <v>154.9</v>
      </c>
      <c r="H298">
        <v>163.9</v>
      </c>
      <c r="I298">
        <v>153.69999999999999</v>
      </c>
      <c r="J298">
        <v>149.5</v>
      </c>
      <c r="K298">
        <v>159.80000000000001</v>
      </c>
      <c r="L298">
        <v>112.6</v>
      </c>
      <c r="M298">
        <v>163.5</v>
      </c>
      <c r="N298">
        <v>156.5</v>
      </c>
      <c r="O298">
        <v>168.2</v>
      </c>
      <c r="P298">
        <v>156.69999999999999</v>
      </c>
      <c r="Q298">
        <v>188.1</v>
      </c>
      <c r="R298">
        <v>157.80000000000001</v>
      </c>
      <c r="S298">
        <v>147.9</v>
      </c>
      <c r="T298">
        <v>156.4</v>
      </c>
      <c r="U298">
        <v>159.9</v>
      </c>
      <c r="V298">
        <v>155.5</v>
      </c>
      <c r="W298">
        <v>151.19999999999999</v>
      </c>
      <c r="X298">
        <v>161.69999999999999</v>
      </c>
      <c r="Y298">
        <v>146.19999999999999</v>
      </c>
      <c r="Z298">
        <v>152.6</v>
      </c>
      <c r="AA298">
        <v>160.19999999999999</v>
      </c>
      <c r="AB298">
        <v>153.80000000000001</v>
      </c>
      <c r="AC298">
        <v>153.80000000000001</v>
      </c>
      <c r="AD298">
        <v>156.80000000000001</v>
      </c>
    </row>
    <row r="299" spans="1:30" x14ac:dyDescent="0.3">
      <c r="A299" t="s">
        <v>30</v>
      </c>
      <c r="B299">
        <v>2021</v>
      </c>
      <c r="C299" t="s">
        <v>37</v>
      </c>
      <c r="D299">
        <v>142.69999999999999</v>
      </c>
      <c r="E299">
        <v>195.5</v>
      </c>
      <c r="F299">
        <v>163.4</v>
      </c>
      <c r="G299">
        <v>155</v>
      </c>
      <c r="H299">
        <v>175.2</v>
      </c>
      <c r="I299">
        <v>160.6</v>
      </c>
      <c r="J299">
        <v>135.1</v>
      </c>
      <c r="K299">
        <v>161.1</v>
      </c>
      <c r="L299">
        <v>112.2</v>
      </c>
      <c r="M299">
        <v>164.4</v>
      </c>
      <c r="N299">
        <v>161.9</v>
      </c>
      <c r="O299">
        <v>166.8</v>
      </c>
      <c r="P299">
        <v>155.6</v>
      </c>
      <c r="Q299">
        <v>186.8</v>
      </c>
      <c r="R299">
        <v>160.69999999999999</v>
      </c>
      <c r="S299">
        <v>155.1</v>
      </c>
      <c r="T299">
        <v>159.9</v>
      </c>
      <c r="U299" t="s">
        <v>48</v>
      </c>
      <c r="V299">
        <v>156</v>
      </c>
      <c r="W299">
        <v>155.5</v>
      </c>
      <c r="X299">
        <v>165.3</v>
      </c>
      <c r="Y299">
        <v>151.69999999999999</v>
      </c>
      <c r="Z299">
        <v>158.6</v>
      </c>
      <c r="AA299">
        <v>164.1</v>
      </c>
      <c r="AB299">
        <v>154.6</v>
      </c>
      <c r="AC299">
        <v>158</v>
      </c>
      <c r="AD299">
        <v>157.6</v>
      </c>
    </row>
    <row r="300" spans="1:30" x14ac:dyDescent="0.3">
      <c r="A300" t="s">
        <v>33</v>
      </c>
      <c r="B300">
        <v>2021</v>
      </c>
      <c r="C300" t="s">
        <v>37</v>
      </c>
      <c r="D300">
        <v>147.6</v>
      </c>
      <c r="E300">
        <v>202.5</v>
      </c>
      <c r="F300">
        <v>166.4</v>
      </c>
      <c r="G300">
        <v>156</v>
      </c>
      <c r="H300">
        <v>161.4</v>
      </c>
      <c r="I300">
        <v>168.8</v>
      </c>
      <c r="J300">
        <v>161.6</v>
      </c>
      <c r="K300">
        <v>162.80000000000001</v>
      </c>
      <c r="L300">
        <v>114.8</v>
      </c>
      <c r="M300">
        <v>162.80000000000001</v>
      </c>
      <c r="N300">
        <v>151.5</v>
      </c>
      <c r="O300">
        <v>171.4</v>
      </c>
      <c r="P300">
        <v>162</v>
      </c>
      <c r="Q300">
        <v>194.4</v>
      </c>
      <c r="R300">
        <v>155.9</v>
      </c>
      <c r="S300">
        <v>139.30000000000001</v>
      </c>
      <c r="T300">
        <v>153.4</v>
      </c>
      <c r="U300">
        <v>161.4</v>
      </c>
      <c r="V300">
        <v>154.9</v>
      </c>
      <c r="W300">
        <v>147.6</v>
      </c>
      <c r="X300">
        <v>157.5</v>
      </c>
      <c r="Y300">
        <v>142.1</v>
      </c>
      <c r="Z300">
        <v>149.1</v>
      </c>
      <c r="AA300">
        <v>157.6</v>
      </c>
      <c r="AB300">
        <v>156.6</v>
      </c>
      <c r="AC300">
        <v>150.5</v>
      </c>
      <c r="AD300">
        <v>158</v>
      </c>
    </row>
    <row r="301" spans="1:30" x14ac:dyDescent="0.3">
      <c r="A301" t="s">
        <v>34</v>
      </c>
      <c r="B301">
        <v>2021</v>
      </c>
      <c r="C301" t="s">
        <v>37</v>
      </c>
      <c r="D301">
        <v>144.30000000000001</v>
      </c>
      <c r="E301">
        <v>198</v>
      </c>
      <c r="F301">
        <v>164.6</v>
      </c>
      <c r="G301">
        <v>155.4</v>
      </c>
      <c r="H301">
        <v>170.1</v>
      </c>
      <c r="I301">
        <v>164.4</v>
      </c>
      <c r="J301">
        <v>144.1</v>
      </c>
      <c r="K301">
        <v>161.69999999999999</v>
      </c>
      <c r="L301">
        <v>113.1</v>
      </c>
      <c r="M301">
        <v>163.9</v>
      </c>
      <c r="N301">
        <v>157.6</v>
      </c>
      <c r="O301">
        <v>168.9</v>
      </c>
      <c r="P301">
        <v>158</v>
      </c>
      <c r="Q301">
        <v>188.8</v>
      </c>
      <c r="R301">
        <v>158.80000000000001</v>
      </c>
      <c r="S301">
        <v>148.5</v>
      </c>
      <c r="T301">
        <v>157.30000000000001</v>
      </c>
      <c r="U301">
        <v>161.4</v>
      </c>
      <c r="V301">
        <v>155.6</v>
      </c>
      <c r="W301">
        <v>151.80000000000001</v>
      </c>
      <c r="X301">
        <v>162.30000000000001</v>
      </c>
      <c r="Y301">
        <v>146.6</v>
      </c>
      <c r="Z301">
        <v>153.19999999999999</v>
      </c>
      <c r="AA301">
        <v>160.30000000000001</v>
      </c>
      <c r="AB301">
        <v>155.4</v>
      </c>
      <c r="AC301">
        <v>154.4</v>
      </c>
      <c r="AD301">
        <v>157.80000000000001</v>
      </c>
    </row>
    <row r="302" spans="1:30" x14ac:dyDescent="0.3">
      <c r="A302" t="s">
        <v>30</v>
      </c>
      <c r="B302">
        <v>2021</v>
      </c>
      <c r="C302" t="s">
        <v>38</v>
      </c>
      <c r="D302">
        <v>145.1</v>
      </c>
      <c r="E302">
        <v>198.5</v>
      </c>
      <c r="F302">
        <v>168.6</v>
      </c>
      <c r="G302">
        <v>155.80000000000001</v>
      </c>
      <c r="H302">
        <v>184.4</v>
      </c>
      <c r="I302">
        <v>162.30000000000001</v>
      </c>
      <c r="J302">
        <v>138.4</v>
      </c>
      <c r="K302">
        <v>165.1</v>
      </c>
      <c r="L302">
        <v>114.3</v>
      </c>
      <c r="M302">
        <v>169.7</v>
      </c>
      <c r="N302">
        <v>164.6</v>
      </c>
      <c r="O302">
        <v>169.8</v>
      </c>
      <c r="P302">
        <v>158.69999999999999</v>
      </c>
      <c r="Q302">
        <v>189.6</v>
      </c>
      <c r="R302">
        <v>165.3</v>
      </c>
      <c r="S302">
        <v>160.6</v>
      </c>
      <c r="T302">
        <v>164.5</v>
      </c>
      <c r="U302" t="s">
        <v>32</v>
      </c>
      <c r="V302">
        <v>161.69999999999999</v>
      </c>
      <c r="W302">
        <v>158.80000000000001</v>
      </c>
      <c r="X302">
        <v>169.1</v>
      </c>
      <c r="Y302">
        <v>153.19999999999999</v>
      </c>
      <c r="Z302">
        <v>160</v>
      </c>
      <c r="AA302">
        <v>167.6</v>
      </c>
      <c r="AB302">
        <v>159.30000000000001</v>
      </c>
      <c r="AC302">
        <v>161.1</v>
      </c>
      <c r="AD302">
        <v>161.1</v>
      </c>
    </row>
    <row r="303" spans="1:30" x14ac:dyDescent="0.3">
      <c r="A303" t="s">
        <v>33</v>
      </c>
      <c r="B303">
        <v>2021</v>
      </c>
      <c r="C303" t="s">
        <v>38</v>
      </c>
      <c r="D303">
        <v>148.80000000000001</v>
      </c>
      <c r="E303">
        <v>204.3</v>
      </c>
      <c r="F303">
        <v>173</v>
      </c>
      <c r="G303">
        <v>156.5</v>
      </c>
      <c r="H303">
        <v>168.8</v>
      </c>
      <c r="I303">
        <v>172.5</v>
      </c>
      <c r="J303">
        <v>166.5</v>
      </c>
      <c r="K303">
        <v>165.9</v>
      </c>
      <c r="L303">
        <v>115.9</v>
      </c>
      <c r="M303">
        <v>165.2</v>
      </c>
      <c r="N303">
        <v>152</v>
      </c>
      <c r="O303">
        <v>171.1</v>
      </c>
      <c r="P303">
        <v>164.2</v>
      </c>
      <c r="Q303">
        <v>198.2</v>
      </c>
      <c r="R303">
        <v>156.5</v>
      </c>
      <c r="S303">
        <v>140.19999999999999</v>
      </c>
      <c r="T303">
        <v>154.1</v>
      </c>
      <c r="U303">
        <v>161.6</v>
      </c>
      <c r="V303">
        <v>155.5</v>
      </c>
      <c r="W303">
        <v>150.1</v>
      </c>
      <c r="X303">
        <v>160.4</v>
      </c>
      <c r="Y303">
        <v>145</v>
      </c>
      <c r="Z303">
        <v>152.6</v>
      </c>
      <c r="AA303">
        <v>156.6</v>
      </c>
      <c r="AB303">
        <v>157.5</v>
      </c>
      <c r="AC303">
        <v>152.30000000000001</v>
      </c>
      <c r="AD303">
        <v>159.5</v>
      </c>
    </row>
    <row r="304" spans="1:30" x14ac:dyDescent="0.3">
      <c r="A304" t="s">
        <v>34</v>
      </c>
      <c r="B304">
        <v>2021</v>
      </c>
      <c r="C304" t="s">
        <v>38</v>
      </c>
      <c r="D304">
        <v>146.30000000000001</v>
      </c>
      <c r="E304">
        <v>200.5</v>
      </c>
      <c r="F304">
        <v>170.3</v>
      </c>
      <c r="G304">
        <v>156.1</v>
      </c>
      <c r="H304">
        <v>178.7</v>
      </c>
      <c r="I304">
        <v>167.1</v>
      </c>
      <c r="J304">
        <v>147.9</v>
      </c>
      <c r="K304">
        <v>165.4</v>
      </c>
      <c r="L304">
        <v>114.8</v>
      </c>
      <c r="M304">
        <v>168.2</v>
      </c>
      <c r="N304">
        <v>159.30000000000001</v>
      </c>
      <c r="O304">
        <v>170.4</v>
      </c>
      <c r="P304">
        <v>160.69999999999999</v>
      </c>
      <c r="Q304">
        <v>191.9</v>
      </c>
      <c r="R304">
        <v>161.80000000000001</v>
      </c>
      <c r="S304">
        <v>152.1</v>
      </c>
      <c r="T304">
        <v>160.4</v>
      </c>
      <c r="U304">
        <v>161.6</v>
      </c>
      <c r="V304">
        <v>159.4</v>
      </c>
      <c r="W304">
        <v>154.69999999999999</v>
      </c>
      <c r="X304">
        <v>165.8</v>
      </c>
      <c r="Y304">
        <v>148.9</v>
      </c>
      <c r="Z304">
        <v>155.80000000000001</v>
      </c>
      <c r="AA304">
        <v>161.19999999999999</v>
      </c>
      <c r="AB304">
        <v>158.6</v>
      </c>
      <c r="AC304">
        <v>156.80000000000001</v>
      </c>
      <c r="AD304">
        <v>160.4</v>
      </c>
    </row>
    <row r="305" spans="1:30" x14ac:dyDescent="0.3">
      <c r="A305" t="s">
        <v>30</v>
      </c>
      <c r="B305">
        <v>2021</v>
      </c>
      <c r="C305" t="s">
        <v>39</v>
      </c>
      <c r="D305">
        <v>145.6</v>
      </c>
      <c r="E305">
        <v>200.1</v>
      </c>
      <c r="F305">
        <v>179.3</v>
      </c>
      <c r="G305">
        <v>156.1</v>
      </c>
      <c r="H305">
        <v>190.4</v>
      </c>
      <c r="I305">
        <v>158.6</v>
      </c>
      <c r="J305">
        <v>144.69999999999999</v>
      </c>
      <c r="K305">
        <v>165.5</v>
      </c>
      <c r="L305">
        <v>114.6</v>
      </c>
      <c r="M305">
        <v>170</v>
      </c>
      <c r="N305">
        <v>165.5</v>
      </c>
      <c r="O305">
        <v>171.7</v>
      </c>
      <c r="P305">
        <v>160.5</v>
      </c>
      <c r="Q305">
        <v>189.1</v>
      </c>
      <c r="R305">
        <v>165.3</v>
      </c>
      <c r="S305">
        <v>159.9</v>
      </c>
      <c r="T305">
        <v>164.6</v>
      </c>
      <c r="U305" t="s">
        <v>32</v>
      </c>
      <c r="V305">
        <v>162.1</v>
      </c>
      <c r="W305">
        <v>159.19999999999999</v>
      </c>
      <c r="X305">
        <v>169.7</v>
      </c>
      <c r="Y305">
        <v>154.19999999999999</v>
      </c>
      <c r="Z305">
        <v>160.4</v>
      </c>
      <c r="AA305">
        <v>166.8</v>
      </c>
      <c r="AB305">
        <v>159.4</v>
      </c>
      <c r="AC305">
        <v>161.5</v>
      </c>
      <c r="AD305">
        <v>162.1</v>
      </c>
    </row>
    <row r="306" spans="1:30" x14ac:dyDescent="0.3">
      <c r="A306" t="s">
        <v>33</v>
      </c>
      <c r="B306">
        <v>2021</v>
      </c>
      <c r="C306" t="s">
        <v>39</v>
      </c>
      <c r="D306">
        <v>149.19999999999999</v>
      </c>
      <c r="E306">
        <v>205.5</v>
      </c>
      <c r="F306">
        <v>182.8</v>
      </c>
      <c r="G306">
        <v>156.5</v>
      </c>
      <c r="H306">
        <v>172.2</v>
      </c>
      <c r="I306">
        <v>171.5</v>
      </c>
      <c r="J306">
        <v>176.2</v>
      </c>
      <c r="K306">
        <v>166.9</v>
      </c>
      <c r="L306">
        <v>116.1</v>
      </c>
      <c r="M306">
        <v>165.5</v>
      </c>
      <c r="N306">
        <v>152.30000000000001</v>
      </c>
      <c r="O306">
        <v>173.3</v>
      </c>
      <c r="P306">
        <v>166.2</v>
      </c>
      <c r="Q306">
        <v>195.6</v>
      </c>
      <c r="R306">
        <v>157.30000000000001</v>
      </c>
      <c r="S306">
        <v>140.5</v>
      </c>
      <c r="T306">
        <v>154.80000000000001</v>
      </c>
      <c r="U306">
        <v>160.5</v>
      </c>
      <c r="V306">
        <v>156.1</v>
      </c>
      <c r="W306">
        <v>149.80000000000001</v>
      </c>
      <c r="X306">
        <v>160.80000000000001</v>
      </c>
      <c r="Y306">
        <v>147.5</v>
      </c>
      <c r="Z306">
        <v>150.69999999999999</v>
      </c>
      <c r="AA306">
        <v>158.1</v>
      </c>
      <c r="AB306">
        <v>158</v>
      </c>
      <c r="AC306">
        <v>153.4</v>
      </c>
      <c r="AD306">
        <v>160.4</v>
      </c>
    </row>
    <row r="307" spans="1:30" x14ac:dyDescent="0.3">
      <c r="A307" t="s">
        <v>34</v>
      </c>
      <c r="B307">
        <v>2021</v>
      </c>
      <c r="C307" t="s">
        <v>39</v>
      </c>
      <c r="D307">
        <v>146.69999999999999</v>
      </c>
      <c r="E307">
        <v>202</v>
      </c>
      <c r="F307">
        <v>180.7</v>
      </c>
      <c r="G307">
        <v>156.19999999999999</v>
      </c>
      <c r="H307">
        <v>183.7</v>
      </c>
      <c r="I307">
        <v>164.6</v>
      </c>
      <c r="J307">
        <v>155.4</v>
      </c>
      <c r="K307">
        <v>166</v>
      </c>
      <c r="L307">
        <v>115.1</v>
      </c>
      <c r="M307">
        <v>168.5</v>
      </c>
      <c r="N307">
        <v>160</v>
      </c>
      <c r="O307">
        <v>172.4</v>
      </c>
      <c r="P307">
        <v>162.6</v>
      </c>
      <c r="Q307">
        <v>190.8</v>
      </c>
      <c r="R307">
        <v>162.19999999999999</v>
      </c>
      <c r="S307">
        <v>151.80000000000001</v>
      </c>
      <c r="T307">
        <v>160.69999999999999</v>
      </c>
      <c r="U307">
        <v>160.5</v>
      </c>
      <c r="V307">
        <v>159.80000000000001</v>
      </c>
      <c r="W307">
        <v>154.80000000000001</v>
      </c>
      <c r="X307">
        <v>166.3</v>
      </c>
      <c r="Y307">
        <v>150.69999999999999</v>
      </c>
      <c r="Z307">
        <v>154.9</v>
      </c>
      <c r="AA307">
        <v>161.69999999999999</v>
      </c>
      <c r="AB307">
        <v>158.80000000000001</v>
      </c>
      <c r="AC307">
        <v>157.6</v>
      </c>
      <c r="AD307">
        <v>161.30000000000001</v>
      </c>
    </row>
    <row r="308" spans="1:30" x14ac:dyDescent="0.3">
      <c r="A308" t="s">
        <v>30</v>
      </c>
      <c r="B308">
        <v>2021</v>
      </c>
      <c r="C308" t="s">
        <v>40</v>
      </c>
      <c r="D308">
        <v>145.1</v>
      </c>
      <c r="E308">
        <v>204.5</v>
      </c>
      <c r="F308">
        <v>180.4</v>
      </c>
      <c r="G308">
        <v>157.1</v>
      </c>
      <c r="H308">
        <v>188.7</v>
      </c>
      <c r="I308">
        <v>157.69999999999999</v>
      </c>
      <c r="J308">
        <v>152.80000000000001</v>
      </c>
      <c r="K308">
        <v>163.6</v>
      </c>
      <c r="L308">
        <v>113.9</v>
      </c>
      <c r="M308">
        <v>169.7</v>
      </c>
      <c r="N308">
        <v>166.2</v>
      </c>
      <c r="O308">
        <v>171</v>
      </c>
      <c r="P308">
        <v>161.69999999999999</v>
      </c>
      <c r="Q308">
        <v>189.7</v>
      </c>
      <c r="R308">
        <v>166</v>
      </c>
      <c r="S308">
        <v>161.1</v>
      </c>
      <c r="T308">
        <v>165.3</v>
      </c>
      <c r="U308" t="s">
        <v>32</v>
      </c>
      <c r="V308">
        <v>162.5</v>
      </c>
      <c r="W308">
        <v>160.30000000000001</v>
      </c>
      <c r="X308">
        <v>170.4</v>
      </c>
      <c r="Y308">
        <v>157.1</v>
      </c>
      <c r="Z308">
        <v>160.69999999999999</v>
      </c>
      <c r="AA308">
        <v>167.2</v>
      </c>
      <c r="AB308">
        <v>160.4</v>
      </c>
      <c r="AC308">
        <v>162.80000000000001</v>
      </c>
      <c r="AD308">
        <v>163.19999999999999</v>
      </c>
    </row>
    <row r="309" spans="1:30" x14ac:dyDescent="0.3">
      <c r="A309" t="s">
        <v>33</v>
      </c>
      <c r="B309">
        <v>2021</v>
      </c>
      <c r="C309" t="s">
        <v>40</v>
      </c>
      <c r="D309">
        <v>149.1</v>
      </c>
      <c r="E309">
        <v>210.9</v>
      </c>
      <c r="F309">
        <v>185</v>
      </c>
      <c r="G309">
        <v>158.19999999999999</v>
      </c>
      <c r="H309">
        <v>170.6</v>
      </c>
      <c r="I309">
        <v>170.9</v>
      </c>
      <c r="J309">
        <v>186.4</v>
      </c>
      <c r="K309">
        <v>164.7</v>
      </c>
      <c r="L309">
        <v>115.7</v>
      </c>
      <c r="M309">
        <v>165.5</v>
      </c>
      <c r="N309">
        <v>153.4</v>
      </c>
      <c r="O309">
        <v>173.5</v>
      </c>
      <c r="P309">
        <v>167.9</v>
      </c>
      <c r="Q309">
        <v>195.5</v>
      </c>
      <c r="R309">
        <v>157.9</v>
      </c>
      <c r="S309">
        <v>141.9</v>
      </c>
      <c r="T309">
        <v>155.5</v>
      </c>
      <c r="U309">
        <v>161.5</v>
      </c>
      <c r="V309">
        <v>157.69999999999999</v>
      </c>
      <c r="W309">
        <v>150.69999999999999</v>
      </c>
      <c r="X309">
        <v>161.5</v>
      </c>
      <c r="Y309">
        <v>149.5</v>
      </c>
      <c r="Z309">
        <v>151.19999999999999</v>
      </c>
      <c r="AA309">
        <v>160.30000000000001</v>
      </c>
      <c r="AB309">
        <v>159.6</v>
      </c>
      <c r="AC309">
        <v>155</v>
      </c>
      <c r="AD309">
        <v>161.80000000000001</v>
      </c>
    </row>
    <row r="310" spans="1:30" x14ac:dyDescent="0.3">
      <c r="A310" t="s">
        <v>34</v>
      </c>
      <c r="B310">
        <v>2021</v>
      </c>
      <c r="C310" t="s">
        <v>40</v>
      </c>
      <c r="D310">
        <v>146.4</v>
      </c>
      <c r="E310">
        <v>206.8</v>
      </c>
      <c r="F310">
        <v>182.2</v>
      </c>
      <c r="G310">
        <v>157.5</v>
      </c>
      <c r="H310">
        <v>182.1</v>
      </c>
      <c r="I310">
        <v>163.9</v>
      </c>
      <c r="J310">
        <v>164.2</v>
      </c>
      <c r="K310">
        <v>164</v>
      </c>
      <c r="L310">
        <v>114.5</v>
      </c>
      <c r="M310">
        <v>168.3</v>
      </c>
      <c r="N310">
        <v>160.9</v>
      </c>
      <c r="O310">
        <v>172.2</v>
      </c>
      <c r="P310">
        <v>164</v>
      </c>
      <c r="Q310">
        <v>191.2</v>
      </c>
      <c r="R310">
        <v>162.80000000000001</v>
      </c>
      <c r="S310">
        <v>153.1</v>
      </c>
      <c r="T310">
        <v>161.4</v>
      </c>
      <c r="U310">
        <v>161.5</v>
      </c>
      <c r="V310">
        <v>160.69999999999999</v>
      </c>
      <c r="W310">
        <v>155.80000000000001</v>
      </c>
      <c r="X310">
        <v>167</v>
      </c>
      <c r="Y310">
        <v>153.1</v>
      </c>
      <c r="Z310">
        <v>155.30000000000001</v>
      </c>
      <c r="AA310">
        <v>163.19999999999999</v>
      </c>
      <c r="AB310">
        <v>160.1</v>
      </c>
      <c r="AC310">
        <v>159</v>
      </c>
      <c r="AD310">
        <v>162.5</v>
      </c>
    </row>
    <row r="311" spans="1:30" x14ac:dyDescent="0.3">
      <c r="A311" t="s">
        <v>30</v>
      </c>
      <c r="B311">
        <v>2021</v>
      </c>
      <c r="C311" t="s">
        <v>41</v>
      </c>
      <c r="D311">
        <v>144.9</v>
      </c>
      <c r="E311">
        <v>202.3</v>
      </c>
      <c r="F311">
        <v>176.5</v>
      </c>
      <c r="G311">
        <v>157.5</v>
      </c>
      <c r="H311">
        <v>190.9</v>
      </c>
      <c r="I311">
        <v>155.69999999999999</v>
      </c>
      <c r="J311">
        <v>153.9</v>
      </c>
      <c r="K311">
        <v>162.80000000000001</v>
      </c>
      <c r="L311">
        <v>115.2</v>
      </c>
      <c r="M311">
        <v>169.8</v>
      </c>
      <c r="N311">
        <v>167.6</v>
      </c>
      <c r="O311">
        <v>171.9</v>
      </c>
      <c r="P311">
        <v>161.80000000000001</v>
      </c>
      <c r="Q311">
        <v>190.2</v>
      </c>
      <c r="R311">
        <v>167</v>
      </c>
      <c r="S311">
        <v>162.6</v>
      </c>
      <c r="T311">
        <v>166.3</v>
      </c>
      <c r="U311" t="s">
        <v>32</v>
      </c>
      <c r="V311">
        <v>163.1</v>
      </c>
      <c r="W311">
        <v>160.9</v>
      </c>
      <c r="X311">
        <v>171.1</v>
      </c>
      <c r="Y311">
        <v>157.69999999999999</v>
      </c>
      <c r="Z311">
        <v>161.1</v>
      </c>
      <c r="AA311">
        <v>167.5</v>
      </c>
      <c r="AB311">
        <v>160.30000000000001</v>
      </c>
      <c r="AC311">
        <v>163.30000000000001</v>
      </c>
      <c r="AD311">
        <v>163.6</v>
      </c>
    </row>
    <row r="312" spans="1:30" x14ac:dyDescent="0.3">
      <c r="A312" t="s">
        <v>33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159.19999999999999</v>
      </c>
      <c r="H312">
        <v>175</v>
      </c>
      <c r="I312">
        <v>161.30000000000001</v>
      </c>
      <c r="J312">
        <v>183.3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157.30000000000001</v>
      </c>
      <c r="U312">
        <v>162.1</v>
      </c>
      <c r="V312">
        <v>160.69999999999999</v>
      </c>
      <c r="W312">
        <v>153.19999999999999</v>
      </c>
      <c r="X312">
        <v>162.80000000000001</v>
      </c>
      <c r="Y312">
        <v>150.4</v>
      </c>
      <c r="Z312">
        <v>153.69999999999999</v>
      </c>
      <c r="AA312">
        <v>160.4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156.80000000000001</v>
      </c>
      <c r="J313">
        <v>162.19999999999999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164.5</v>
      </c>
      <c r="S313">
        <v>155.30000000000001</v>
      </c>
      <c r="T313">
        <v>163.19999999999999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</v>
      </c>
      <c r="AA313">
        <v>163.80000000000001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42</v>
      </c>
      <c r="D314">
        <v>145.4</v>
      </c>
      <c r="E314">
        <v>202.1</v>
      </c>
      <c r="F314">
        <v>172</v>
      </c>
      <c r="G314">
        <v>158</v>
      </c>
      <c r="H314">
        <v>195.5</v>
      </c>
      <c r="I314">
        <v>152.69999999999999</v>
      </c>
      <c r="J314">
        <v>151.4</v>
      </c>
      <c r="K314">
        <v>163.9</v>
      </c>
      <c r="L314">
        <v>119.3</v>
      </c>
      <c r="M314">
        <v>170.1</v>
      </c>
      <c r="N314">
        <v>168.3</v>
      </c>
      <c r="O314">
        <v>172.8</v>
      </c>
      <c r="P314">
        <v>162.1</v>
      </c>
      <c r="Q314">
        <v>190.5</v>
      </c>
      <c r="R314">
        <v>167.7</v>
      </c>
      <c r="S314">
        <v>163.6</v>
      </c>
      <c r="T314">
        <v>167.1</v>
      </c>
      <c r="U314" t="s">
        <v>32</v>
      </c>
      <c r="V314">
        <v>163.69999999999999</v>
      </c>
      <c r="W314">
        <v>161.30000000000001</v>
      </c>
      <c r="X314">
        <v>171.9</v>
      </c>
      <c r="Y314">
        <v>157.80000000000001</v>
      </c>
      <c r="Z314">
        <v>162.69999999999999</v>
      </c>
      <c r="AA314">
        <v>168.5</v>
      </c>
      <c r="AB314">
        <v>160.19999999999999</v>
      </c>
      <c r="AC314">
        <v>163.80000000000001</v>
      </c>
      <c r="AD314">
        <v>164</v>
      </c>
    </row>
    <row r="315" spans="1:30" x14ac:dyDescent="0.3">
      <c r="A315" t="s">
        <v>33</v>
      </c>
      <c r="B315">
        <v>2021</v>
      </c>
      <c r="C315" t="s">
        <v>42</v>
      </c>
      <c r="D315">
        <v>149.30000000000001</v>
      </c>
      <c r="E315">
        <v>207.4</v>
      </c>
      <c r="F315">
        <v>174.1</v>
      </c>
      <c r="G315">
        <v>159.1</v>
      </c>
      <c r="H315">
        <v>175</v>
      </c>
      <c r="I315">
        <v>161.19999999999999</v>
      </c>
      <c r="J315">
        <v>183.5</v>
      </c>
      <c r="K315">
        <v>164.5</v>
      </c>
      <c r="L315">
        <v>120.4</v>
      </c>
      <c r="M315">
        <v>166.2</v>
      </c>
      <c r="N315">
        <v>154.80000000000001</v>
      </c>
      <c r="O315">
        <v>175.1</v>
      </c>
      <c r="P315">
        <v>167.3</v>
      </c>
      <c r="Q315">
        <v>196.5</v>
      </c>
      <c r="R315">
        <v>159.80000000000001</v>
      </c>
      <c r="S315">
        <v>143.6</v>
      </c>
      <c r="T315">
        <v>157.4</v>
      </c>
      <c r="U315">
        <v>162.1</v>
      </c>
      <c r="V315">
        <v>160.80000000000001</v>
      </c>
      <c r="W315">
        <v>153.30000000000001</v>
      </c>
      <c r="X315">
        <v>162.80000000000001</v>
      </c>
      <c r="Y315">
        <v>150.5</v>
      </c>
      <c r="Z315">
        <v>153.9</v>
      </c>
      <c r="AA315">
        <v>160.30000000000001</v>
      </c>
      <c r="AB315">
        <v>159.6</v>
      </c>
      <c r="AC315">
        <v>156</v>
      </c>
      <c r="AD315">
        <v>162.30000000000001</v>
      </c>
    </row>
    <row r="316" spans="1:30" x14ac:dyDescent="0.3">
      <c r="A316" t="s">
        <v>34</v>
      </c>
      <c r="B316">
        <v>2021</v>
      </c>
      <c r="C316" t="s">
        <v>42</v>
      </c>
      <c r="D316">
        <v>146.6</v>
      </c>
      <c r="E316">
        <v>204</v>
      </c>
      <c r="F316">
        <v>172.8</v>
      </c>
      <c r="G316">
        <v>158.4</v>
      </c>
      <c r="H316">
        <v>188</v>
      </c>
      <c r="I316">
        <v>156.69999999999999</v>
      </c>
      <c r="J316">
        <v>162.30000000000001</v>
      </c>
      <c r="K316">
        <v>164.1</v>
      </c>
      <c r="L316">
        <v>119.7</v>
      </c>
      <c r="M316">
        <v>168.8</v>
      </c>
      <c r="N316">
        <v>162.69999999999999</v>
      </c>
      <c r="O316">
        <v>173.9</v>
      </c>
      <c r="P316">
        <v>164</v>
      </c>
      <c r="Q316">
        <v>192.1</v>
      </c>
      <c r="R316">
        <v>164.6</v>
      </c>
      <c r="S316">
        <v>155.30000000000001</v>
      </c>
      <c r="T316">
        <v>163.30000000000001</v>
      </c>
      <c r="U316">
        <v>162.1</v>
      </c>
      <c r="V316">
        <v>162.6</v>
      </c>
      <c r="W316">
        <v>157.5</v>
      </c>
      <c r="X316">
        <v>168.4</v>
      </c>
      <c r="Y316">
        <v>154</v>
      </c>
      <c r="Z316">
        <v>157.69999999999999</v>
      </c>
      <c r="AA316">
        <v>163.69999999999999</v>
      </c>
      <c r="AB316">
        <v>160</v>
      </c>
      <c r="AC316">
        <v>160</v>
      </c>
      <c r="AD316">
        <v>163.19999999999999</v>
      </c>
    </row>
    <row r="317" spans="1:30" x14ac:dyDescent="0.3">
      <c r="A317" t="s">
        <v>30</v>
      </c>
      <c r="B317">
        <v>2021</v>
      </c>
      <c r="C317" t="s">
        <v>43</v>
      </c>
      <c r="D317">
        <v>146.1</v>
      </c>
      <c r="E317">
        <v>202.5</v>
      </c>
      <c r="F317">
        <v>170.1</v>
      </c>
      <c r="G317">
        <v>158.4</v>
      </c>
      <c r="H317">
        <v>198.8</v>
      </c>
      <c r="I317">
        <v>152.6</v>
      </c>
      <c r="J317">
        <v>170.4</v>
      </c>
      <c r="K317">
        <v>165.2</v>
      </c>
      <c r="L317">
        <v>121.6</v>
      </c>
      <c r="M317">
        <v>170.6</v>
      </c>
      <c r="N317">
        <v>168.8</v>
      </c>
      <c r="O317">
        <v>173.6</v>
      </c>
      <c r="P317">
        <v>165.5</v>
      </c>
      <c r="Q317">
        <v>191.2</v>
      </c>
      <c r="R317">
        <v>168.9</v>
      </c>
      <c r="S317">
        <v>164.8</v>
      </c>
      <c r="T317">
        <v>168.3</v>
      </c>
      <c r="U317" t="s">
        <v>32</v>
      </c>
      <c r="V317">
        <v>165.5</v>
      </c>
      <c r="W317">
        <v>162</v>
      </c>
      <c r="X317">
        <v>172.5</v>
      </c>
      <c r="Y317">
        <v>159.5</v>
      </c>
      <c r="Z317">
        <v>163.19999999999999</v>
      </c>
      <c r="AA317">
        <v>169</v>
      </c>
      <c r="AB317">
        <v>161.1</v>
      </c>
      <c r="AC317">
        <v>164.7</v>
      </c>
      <c r="AD317">
        <v>166.3</v>
      </c>
    </row>
    <row r="318" spans="1:30" x14ac:dyDescent="0.3">
      <c r="A318" t="s">
        <v>33</v>
      </c>
      <c r="B318">
        <v>2021</v>
      </c>
      <c r="C318" t="s">
        <v>43</v>
      </c>
      <c r="D318">
        <v>150.1</v>
      </c>
      <c r="E318">
        <v>208.4</v>
      </c>
      <c r="F318">
        <v>173</v>
      </c>
      <c r="G318">
        <v>159.19999999999999</v>
      </c>
      <c r="H318">
        <v>176.6</v>
      </c>
      <c r="I318">
        <v>159.30000000000001</v>
      </c>
      <c r="J318">
        <v>214.4</v>
      </c>
      <c r="K318">
        <v>165.3</v>
      </c>
      <c r="L318">
        <v>122.5</v>
      </c>
      <c r="M318">
        <v>166.8</v>
      </c>
      <c r="N318">
        <v>155.4</v>
      </c>
      <c r="O318">
        <v>175.9</v>
      </c>
      <c r="P318">
        <v>171.5</v>
      </c>
      <c r="Q318">
        <v>197</v>
      </c>
      <c r="R318">
        <v>160.80000000000001</v>
      </c>
      <c r="S318">
        <v>144.4</v>
      </c>
      <c r="T318">
        <v>158.30000000000001</v>
      </c>
      <c r="U318">
        <v>163.6</v>
      </c>
      <c r="V318">
        <v>162.19999999999999</v>
      </c>
      <c r="W318">
        <v>154.30000000000001</v>
      </c>
      <c r="X318">
        <v>163.5</v>
      </c>
      <c r="Y318">
        <v>152.19999999999999</v>
      </c>
      <c r="Z318">
        <v>155.1</v>
      </c>
      <c r="AA318">
        <v>160.30000000000001</v>
      </c>
      <c r="AB318">
        <v>160.30000000000001</v>
      </c>
      <c r="AC318">
        <v>157</v>
      </c>
      <c r="AD318">
        <v>164.6</v>
      </c>
    </row>
    <row r="319" spans="1:30" x14ac:dyDescent="0.3">
      <c r="A319" t="s">
        <v>34</v>
      </c>
      <c r="B319">
        <v>2021</v>
      </c>
      <c r="C319" t="s">
        <v>43</v>
      </c>
      <c r="D319">
        <v>147.4</v>
      </c>
      <c r="E319">
        <v>204.6</v>
      </c>
      <c r="F319">
        <v>171.2</v>
      </c>
      <c r="G319">
        <v>158.69999999999999</v>
      </c>
      <c r="H319">
        <v>190.6</v>
      </c>
      <c r="I319">
        <v>155.69999999999999</v>
      </c>
      <c r="J319">
        <v>185.3</v>
      </c>
      <c r="K319">
        <v>165.2</v>
      </c>
      <c r="L319">
        <v>121.9</v>
      </c>
      <c r="M319">
        <v>169.3</v>
      </c>
      <c r="N319">
        <v>163.19999999999999</v>
      </c>
      <c r="O319">
        <v>174.7</v>
      </c>
      <c r="P319">
        <v>167.7</v>
      </c>
      <c r="Q319">
        <v>192.7</v>
      </c>
      <c r="R319">
        <v>165.7</v>
      </c>
      <c r="S319">
        <v>156.30000000000001</v>
      </c>
      <c r="T319">
        <v>164.3</v>
      </c>
      <c r="U319">
        <v>163.6</v>
      </c>
      <c r="V319">
        <v>164.2</v>
      </c>
      <c r="W319">
        <v>158.4</v>
      </c>
      <c r="X319">
        <v>169.1</v>
      </c>
      <c r="Y319">
        <v>155.69999999999999</v>
      </c>
      <c r="Z319">
        <v>158.6</v>
      </c>
      <c r="AA319">
        <v>163.9</v>
      </c>
      <c r="AB319">
        <v>160.80000000000001</v>
      </c>
      <c r="AC319">
        <v>161</v>
      </c>
      <c r="AD319">
        <v>165.5</v>
      </c>
    </row>
    <row r="320" spans="1:30" x14ac:dyDescent="0.3">
      <c r="A320" t="s">
        <v>30</v>
      </c>
      <c r="B320">
        <v>2021</v>
      </c>
      <c r="C320" t="s">
        <v>45</v>
      </c>
      <c r="D320">
        <v>146.9</v>
      </c>
      <c r="E320">
        <v>199.8</v>
      </c>
      <c r="F320">
        <v>171.5</v>
      </c>
      <c r="G320">
        <v>159.1</v>
      </c>
      <c r="H320">
        <v>198.4</v>
      </c>
      <c r="I320">
        <v>153.19999999999999</v>
      </c>
      <c r="J320">
        <v>183.9</v>
      </c>
      <c r="K320">
        <v>165.4</v>
      </c>
      <c r="L320">
        <v>122.1</v>
      </c>
      <c r="M320">
        <v>170.8</v>
      </c>
      <c r="N320">
        <v>169.1</v>
      </c>
      <c r="O320">
        <v>174.3</v>
      </c>
      <c r="P320">
        <v>167.5</v>
      </c>
      <c r="Q320">
        <v>191.4</v>
      </c>
      <c r="R320">
        <v>170.4</v>
      </c>
      <c r="S320">
        <v>166</v>
      </c>
      <c r="T320">
        <v>169.8</v>
      </c>
      <c r="U320" t="s">
        <v>32</v>
      </c>
      <c r="V320">
        <v>165.3</v>
      </c>
      <c r="W320">
        <v>162.9</v>
      </c>
      <c r="X320">
        <v>173.4</v>
      </c>
      <c r="Y320">
        <v>158.9</v>
      </c>
      <c r="Z320">
        <v>163.80000000000001</v>
      </c>
      <c r="AA320">
        <v>169.3</v>
      </c>
      <c r="AB320">
        <v>162.4</v>
      </c>
      <c r="AC320">
        <v>165.2</v>
      </c>
      <c r="AD320">
        <v>167.6</v>
      </c>
    </row>
    <row r="321" spans="1:30" x14ac:dyDescent="0.3">
      <c r="A321" t="s">
        <v>33</v>
      </c>
      <c r="B321">
        <v>2021</v>
      </c>
      <c r="C321" t="s">
        <v>45</v>
      </c>
      <c r="D321">
        <v>151</v>
      </c>
      <c r="E321">
        <v>204.9</v>
      </c>
      <c r="F321">
        <v>175.4</v>
      </c>
      <c r="G321">
        <v>159.6</v>
      </c>
      <c r="H321">
        <v>175.8</v>
      </c>
      <c r="I321">
        <v>160.30000000000001</v>
      </c>
      <c r="J321">
        <v>229.1</v>
      </c>
      <c r="K321">
        <v>165.1</v>
      </c>
      <c r="L321">
        <v>123.1</v>
      </c>
      <c r="M321">
        <v>167.2</v>
      </c>
      <c r="N321">
        <v>156.1</v>
      </c>
      <c r="O321">
        <v>176.8</v>
      </c>
      <c r="P321">
        <v>173.5</v>
      </c>
      <c r="Q321">
        <v>197</v>
      </c>
      <c r="R321">
        <v>162.30000000000001</v>
      </c>
      <c r="S321">
        <v>145.30000000000001</v>
      </c>
      <c r="T321">
        <v>159.69999999999999</v>
      </c>
      <c r="U321">
        <v>164.2</v>
      </c>
      <c r="V321">
        <v>161.6</v>
      </c>
      <c r="W321">
        <v>155.19999999999999</v>
      </c>
      <c r="X321">
        <v>164.2</v>
      </c>
      <c r="Y321">
        <v>151.19999999999999</v>
      </c>
      <c r="Z321">
        <v>156.69999999999999</v>
      </c>
      <c r="AA321">
        <v>160.80000000000001</v>
      </c>
      <c r="AB321">
        <v>161.80000000000001</v>
      </c>
      <c r="AC321">
        <v>157.30000000000001</v>
      </c>
      <c r="AD321">
        <v>165.6</v>
      </c>
    </row>
    <row r="322" spans="1:30" x14ac:dyDescent="0.3">
      <c r="A322" t="s">
        <v>34</v>
      </c>
      <c r="B322">
        <v>2021</v>
      </c>
      <c r="C322" t="s">
        <v>45</v>
      </c>
      <c r="D322">
        <v>148.19999999999999</v>
      </c>
      <c r="E322">
        <v>201.6</v>
      </c>
      <c r="F322">
        <v>173</v>
      </c>
      <c r="G322">
        <v>159.30000000000001</v>
      </c>
      <c r="H322">
        <v>190.1</v>
      </c>
      <c r="I322">
        <v>156.5</v>
      </c>
      <c r="J322">
        <v>199.2</v>
      </c>
      <c r="K322">
        <v>165.3</v>
      </c>
      <c r="L322">
        <v>122.4</v>
      </c>
      <c r="M322">
        <v>169.6</v>
      </c>
      <c r="N322">
        <v>163.69999999999999</v>
      </c>
      <c r="O322">
        <v>175.5</v>
      </c>
      <c r="P322">
        <v>169.7</v>
      </c>
      <c r="Q322">
        <v>192.9</v>
      </c>
      <c r="R322">
        <v>167.2</v>
      </c>
      <c r="S322">
        <v>157.4</v>
      </c>
      <c r="T322">
        <v>165.8</v>
      </c>
      <c r="U322">
        <v>164.2</v>
      </c>
      <c r="V322">
        <v>163.9</v>
      </c>
      <c r="W322">
        <v>159.30000000000001</v>
      </c>
      <c r="X322">
        <v>169.9</v>
      </c>
      <c r="Y322">
        <v>154.80000000000001</v>
      </c>
      <c r="Z322">
        <v>159.80000000000001</v>
      </c>
      <c r="AA322">
        <v>164.3</v>
      </c>
      <c r="AB322">
        <v>162.19999999999999</v>
      </c>
      <c r="AC322">
        <v>161.4</v>
      </c>
      <c r="AD322">
        <v>166.7</v>
      </c>
    </row>
    <row r="323" spans="1:30" x14ac:dyDescent="0.3">
      <c r="A323" t="s">
        <v>30</v>
      </c>
      <c r="B323">
        <v>2021</v>
      </c>
      <c r="C323" t="s">
        <v>46</v>
      </c>
      <c r="D323">
        <v>147.4</v>
      </c>
      <c r="E323">
        <v>197</v>
      </c>
      <c r="F323">
        <v>176.5</v>
      </c>
      <c r="G323">
        <v>159.80000000000001</v>
      </c>
      <c r="H323">
        <v>195.8</v>
      </c>
      <c r="I323">
        <v>152</v>
      </c>
      <c r="J323">
        <v>172.3</v>
      </c>
      <c r="K323">
        <v>164.5</v>
      </c>
      <c r="L323">
        <v>120.6</v>
      </c>
      <c r="M323">
        <v>171.7</v>
      </c>
      <c r="N323">
        <v>169.7</v>
      </c>
      <c r="O323">
        <v>175.1</v>
      </c>
      <c r="P323">
        <v>165.8</v>
      </c>
      <c r="Q323">
        <v>190.8</v>
      </c>
      <c r="R323">
        <v>171.8</v>
      </c>
      <c r="S323">
        <v>167.3</v>
      </c>
      <c r="T323">
        <v>171.2</v>
      </c>
      <c r="U323" t="s">
        <v>32</v>
      </c>
      <c r="V323">
        <v>165.6</v>
      </c>
      <c r="W323">
        <v>163.9</v>
      </c>
      <c r="X323">
        <v>174</v>
      </c>
      <c r="Y323">
        <v>160.1</v>
      </c>
      <c r="Z323">
        <v>164.5</v>
      </c>
      <c r="AA323">
        <v>169.7</v>
      </c>
      <c r="AB323">
        <v>162.80000000000001</v>
      </c>
      <c r="AC323">
        <v>166</v>
      </c>
      <c r="AD323">
        <v>167</v>
      </c>
    </row>
    <row r="324" spans="1:30" x14ac:dyDescent="0.3">
      <c r="A324" t="s">
        <v>33</v>
      </c>
      <c r="B324">
        <v>2021</v>
      </c>
      <c r="C324" t="s">
        <v>46</v>
      </c>
      <c r="D324">
        <v>151.6</v>
      </c>
      <c r="E324">
        <v>202.2</v>
      </c>
      <c r="F324">
        <v>180</v>
      </c>
      <c r="G324">
        <v>160</v>
      </c>
      <c r="H324">
        <v>173.5</v>
      </c>
      <c r="I324">
        <v>158.30000000000001</v>
      </c>
      <c r="J324">
        <v>219.5</v>
      </c>
      <c r="K324">
        <v>164.2</v>
      </c>
      <c r="L324">
        <v>121.9</v>
      </c>
      <c r="M324">
        <v>168.2</v>
      </c>
      <c r="N324">
        <v>156.5</v>
      </c>
      <c r="O324">
        <v>178.2</v>
      </c>
      <c r="P324">
        <v>172.2</v>
      </c>
      <c r="Q324">
        <v>196.8</v>
      </c>
      <c r="R324">
        <v>163.30000000000001</v>
      </c>
      <c r="S324">
        <v>146.69999999999999</v>
      </c>
      <c r="T324">
        <v>160.69999999999999</v>
      </c>
      <c r="U324">
        <v>163.4</v>
      </c>
      <c r="V324">
        <v>161.69999999999999</v>
      </c>
      <c r="W324">
        <v>156</v>
      </c>
      <c r="X324">
        <v>165.1</v>
      </c>
      <c r="Y324">
        <v>151.80000000000001</v>
      </c>
      <c r="Z324">
        <v>157.6</v>
      </c>
      <c r="AA324">
        <v>160.6</v>
      </c>
      <c r="AB324">
        <v>162.4</v>
      </c>
      <c r="AC324">
        <v>157.80000000000001</v>
      </c>
      <c r="AD324">
        <v>165.2</v>
      </c>
    </row>
    <row r="325" spans="1:30" x14ac:dyDescent="0.3">
      <c r="A325" t="s">
        <v>34</v>
      </c>
      <c r="B325">
        <v>2021</v>
      </c>
      <c r="C325" t="s">
        <v>46</v>
      </c>
      <c r="D325">
        <v>148.69999999999999</v>
      </c>
      <c r="E325">
        <v>198.8</v>
      </c>
      <c r="F325">
        <v>177.9</v>
      </c>
      <c r="G325">
        <v>159.9</v>
      </c>
      <c r="H325">
        <v>187.6</v>
      </c>
      <c r="I325">
        <v>154.9</v>
      </c>
      <c r="J325">
        <v>188.3</v>
      </c>
      <c r="K325">
        <v>164.4</v>
      </c>
      <c r="L325">
        <v>121</v>
      </c>
      <c r="M325">
        <v>170.5</v>
      </c>
      <c r="N325">
        <v>164.2</v>
      </c>
      <c r="O325">
        <v>176.5</v>
      </c>
      <c r="P325">
        <v>168.2</v>
      </c>
      <c r="Q325">
        <v>192.4</v>
      </c>
      <c r="R325">
        <v>168.5</v>
      </c>
      <c r="S325">
        <v>158.69999999999999</v>
      </c>
      <c r="T325">
        <v>167</v>
      </c>
      <c r="U325">
        <v>163.4</v>
      </c>
      <c r="V325">
        <v>164.1</v>
      </c>
      <c r="W325">
        <v>160.19999999999999</v>
      </c>
      <c r="X325">
        <v>170.6</v>
      </c>
      <c r="Y325">
        <v>155.69999999999999</v>
      </c>
      <c r="Z325">
        <v>160.6</v>
      </c>
      <c r="AA325">
        <v>164.4</v>
      </c>
      <c r="AB325">
        <v>162.6</v>
      </c>
      <c r="AC325">
        <v>162</v>
      </c>
      <c r="AD325">
        <v>166.2</v>
      </c>
    </row>
    <row r="326" spans="1:30" x14ac:dyDescent="0.3">
      <c r="A326" t="s">
        <v>30</v>
      </c>
      <c r="B326">
        <v>2022</v>
      </c>
      <c r="C326" t="s">
        <v>31</v>
      </c>
      <c r="D326">
        <v>148.30000000000001</v>
      </c>
      <c r="E326">
        <v>196.9</v>
      </c>
      <c r="F326">
        <v>178</v>
      </c>
      <c r="G326">
        <v>160.5</v>
      </c>
      <c r="H326">
        <v>192.6</v>
      </c>
      <c r="I326">
        <v>151.19999999999999</v>
      </c>
      <c r="J326">
        <v>159.19999999999999</v>
      </c>
      <c r="K326">
        <v>164</v>
      </c>
      <c r="L326">
        <v>119.3</v>
      </c>
      <c r="M326">
        <v>173.3</v>
      </c>
      <c r="N326">
        <v>169.8</v>
      </c>
      <c r="O326">
        <v>175.8</v>
      </c>
      <c r="P326">
        <v>164.1</v>
      </c>
      <c r="Q326">
        <v>190.7</v>
      </c>
      <c r="R326">
        <v>173.2</v>
      </c>
      <c r="S326">
        <v>169.3</v>
      </c>
      <c r="T326">
        <v>172.7</v>
      </c>
      <c r="U326" t="s">
        <v>32</v>
      </c>
      <c r="V326">
        <v>165.8</v>
      </c>
      <c r="W326">
        <v>164.9</v>
      </c>
      <c r="X326">
        <v>174.7</v>
      </c>
      <c r="Y326">
        <v>160.80000000000001</v>
      </c>
      <c r="Z326">
        <v>164.9</v>
      </c>
      <c r="AA326">
        <v>169.9</v>
      </c>
      <c r="AB326">
        <v>163.19999999999999</v>
      </c>
      <c r="AC326">
        <v>166.6</v>
      </c>
      <c r="AD326">
        <v>166.4</v>
      </c>
    </row>
    <row r="327" spans="1:30" x14ac:dyDescent="0.3">
      <c r="A327" t="s">
        <v>33</v>
      </c>
      <c r="B327">
        <v>2022</v>
      </c>
      <c r="C327" t="s">
        <v>31</v>
      </c>
      <c r="D327">
        <v>152.19999999999999</v>
      </c>
      <c r="E327">
        <v>202.1</v>
      </c>
      <c r="F327">
        <v>180.1</v>
      </c>
      <c r="G327">
        <v>160.4</v>
      </c>
      <c r="H327">
        <v>171</v>
      </c>
      <c r="I327">
        <v>156.5</v>
      </c>
      <c r="J327">
        <v>203.6</v>
      </c>
      <c r="K327">
        <v>163.80000000000001</v>
      </c>
      <c r="L327">
        <v>121.3</v>
      </c>
      <c r="M327">
        <v>169.8</v>
      </c>
      <c r="N327">
        <v>156.6</v>
      </c>
      <c r="O327">
        <v>179</v>
      </c>
      <c r="P327">
        <v>170.3</v>
      </c>
      <c r="Q327">
        <v>196.4</v>
      </c>
      <c r="R327">
        <v>164.7</v>
      </c>
      <c r="S327">
        <v>148.5</v>
      </c>
      <c r="T327">
        <v>162.19999999999999</v>
      </c>
      <c r="U327">
        <v>164.5</v>
      </c>
      <c r="V327">
        <v>161.6</v>
      </c>
      <c r="W327">
        <v>156.80000000000001</v>
      </c>
      <c r="X327">
        <v>166.1</v>
      </c>
      <c r="Y327">
        <v>152.69999999999999</v>
      </c>
      <c r="Z327">
        <v>158.4</v>
      </c>
      <c r="AA327">
        <v>161</v>
      </c>
      <c r="AB327">
        <v>162.80000000000001</v>
      </c>
      <c r="AC327">
        <v>158.6</v>
      </c>
      <c r="AD327">
        <v>165</v>
      </c>
    </row>
    <row r="328" spans="1:30" x14ac:dyDescent="0.3">
      <c r="A328" t="s">
        <v>34</v>
      </c>
      <c r="B328">
        <v>2022</v>
      </c>
      <c r="C328" t="s">
        <v>31</v>
      </c>
      <c r="D328">
        <v>149.5</v>
      </c>
      <c r="E328">
        <v>198.7</v>
      </c>
      <c r="F328">
        <v>178.8</v>
      </c>
      <c r="G328">
        <v>160.5</v>
      </c>
      <c r="H328">
        <v>184.7</v>
      </c>
      <c r="I328">
        <v>153.69999999999999</v>
      </c>
      <c r="J328">
        <v>174.3</v>
      </c>
      <c r="K328">
        <v>163.9</v>
      </c>
      <c r="L328">
        <v>120</v>
      </c>
      <c r="M328">
        <v>172.1</v>
      </c>
      <c r="N328">
        <v>164.3</v>
      </c>
      <c r="O328">
        <v>177.3</v>
      </c>
      <c r="P328">
        <v>166.4</v>
      </c>
      <c r="Q328">
        <v>192.2</v>
      </c>
      <c r="R328">
        <v>169.9</v>
      </c>
      <c r="S328">
        <v>160.69999999999999</v>
      </c>
      <c r="T328">
        <v>168.5</v>
      </c>
      <c r="U328">
        <v>164.5</v>
      </c>
      <c r="V328">
        <v>164.2</v>
      </c>
      <c r="W328">
        <v>161.1</v>
      </c>
      <c r="X328">
        <v>171.4</v>
      </c>
      <c r="Y328">
        <v>156.5</v>
      </c>
      <c r="Z328">
        <v>161.19999999999999</v>
      </c>
      <c r="AA328">
        <v>164.7</v>
      </c>
      <c r="AB328">
        <v>163</v>
      </c>
      <c r="AC328">
        <v>162.69999999999999</v>
      </c>
      <c r="AD328">
        <v>165.7</v>
      </c>
    </row>
    <row r="329" spans="1:30" x14ac:dyDescent="0.3">
      <c r="A329" t="s">
        <v>30</v>
      </c>
      <c r="B329">
        <v>2022</v>
      </c>
      <c r="C329" t="s">
        <v>35</v>
      </c>
      <c r="D329">
        <v>148.80000000000001</v>
      </c>
      <c r="E329">
        <v>198.1</v>
      </c>
      <c r="F329">
        <v>175.5</v>
      </c>
      <c r="G329">
        <v>160.69999999999999</v>
      </c>
      <c r="H329">
        <v>192.6</v>
      </c>
      <c r="I329">
        <v>151.4</v>
      </c>
      <c r="J329">
        <v>155.19999999999999</v>
      </c>
      <c r="K329">
        <v>163.9</v>
      </c>
      <c r="L329">
        <v>118.1</v>
      </c>
      <c r="M329">
        <v>175.4</v>
      </c>
      <c r="N329">
        <v>170.5</v>
      </c>
      <c r="O329">
        <v>176.3</v>
      </c>
      <c r="P329">
        <v>163.9</v>
      </c>
      <c r="Q329">
        <v>191.5</v>
      </c>
      <c r="R329">
        <v>174.1</v>
      </c>
      <c r="S329">
        <v>171</v>
      </c>
      <c r="T329">
        <v>173.7</v>
      </c>
      <c r="U329" t="s">
        <v>32</v>
      </c>
      <c r="V329">
        <v>167.4</v>
      </c>
      <c r="W329">
        <v>165.7</v>
      </c>
      <c r="X329">
        <v>175.3</v>
      </c>
      <c r="Y329">
        <v>161.19999999999999</v>
      </c>
      <c r="Z329">
        <v>165.5</v>
      </c>
      <c r="AA329">
        <v>170.3</v>
      </c>
      <c r="AB329">
        <v>164.5</v>
      </c>
      <c r="AC329">
        <v>167.3</v>
      </c>
      <c r="AD329">
        <v>166.7</v>
      </c>
    </row>
    <row r="330" spans="1:30" x14ac:dyDescent="0.3">
      <c r="A330" t="s">
        <v>33</v>
      </c>
      <c r="B330">
        <v>2022</v>
      </c>
      <c r="C330" t="s">
        <v>35</v>
      </c>
      <c r="D330">
        <v>152.5</v>
      </c>
      <c r="E330">
        <v>205.2</v>
      </c>
      <c r="F330">
        <v>176.4</v>
      </c>
      <c r="G330">
        <v>160.6</v>
      </c>
      <c r="H330">
        <v>171.5</v>
      </c>
      <c r="I330">
        <v>156.4</v>
      </c>
      <c r="J330">
        <v>198</v>
      </c>
      <c r="K330">
        <v>163.19999999999999</v>
      </c>
      <c r="L330">
        <v>120.6</v>
      </c>
      <c r="M330">
        <v>172.2</v>
      </c>
      <c r="N330">
        <v>156.69999999999999</v>
      </c>
      <c r="O330">
        <v>180</v>
      </c>
      <c r="P330">
        <v>170.2</v>
      </c>
      <c r="Q330">
        <v>196.5</v>
      </c>
      <c r="R330">
        <v>165.7</v>
      </c>
      <c r="S330">
        <v>150.4</v>
      </c>
      <c r="T330">
        <v>163.4</v>
      </c>
      <c r="U330">
        <v>165.5</v>
      </c>
      <c r="V330">
        <v>163</v>
      </c>
      <c r="W330">
        <v>157.4</v>
      </c>
      <c r="X330">
        <v>167.2</v>
      </c>
      <c r="Y330">
        <v>153.1</v>
      </c>
      <c r="Z330">
        <v>159.5</v>
      </c>
      <c r="AA330">
        <v>162</v>
      </c>
      <c r="AB330">
        <v>164.2</v>
      </c>
      <c r="AC330">
        <v>159.4</v>
      </c>
      <c r="AD330">
        <v>165.5</v>
      </c>
    </row>
    <row r="331" spans="1:30" x14ac:dyDescent="0.3">
      <c r="A331" t="s">
        <v>34</v>
      </c>
      <c r="B331">
        <v>2022</v>
      </c>
      <c r="C331" t="s">
        <v>35</v>
      </c>
      <c r="D331">
        <v>150</v>
      </c>
      <c r="E331">
        <v>200.6</v>
      </c>
      <c r="F331">
        <v>175.8</v>
      </c>
      <c r="G331">
        <v>160.69999999999999</v>
      </c>
      <c r="H331">
        <v>184.9</v>
      </c>
      <c r="I331">
        <v>153.69999999999999</v>
      </c>
      <c r="J331">
        <v>169.7</v>
      </c>
      <c r="K331">
        <v>163.69999999999999</v>
      </c>
      <c r="L331">
        <v>118.9</v>
      </c>
      <c r="M331">
        <v>174.3</v>
      </c>
      <c r="N331">
        <v>164.7</v>
      </c>
      <c r="O331">
        <v>178</v>
      </c>
      <c r="P331">
        <v>166.2</v>
      </c>
      <c r="Q331">
        <v>192.8</v>
      </c>
      <c r="R331">
        <v>170.8</v>
      </c>
      <c r="S331">
        <v>162.4</v>
      </c>
      <c r="T331">
        <v>169.6</v>
      </c>
      <c r="U331">
        <v>165.5</v>
      </c>
      <c r="V331">
        <v>165.7</v>
      </c>
      <c r="W331">
        <v>161.80000000000001</v>
      </c>
      <c r="X331">
        <v>172.2</v>
      </c>
      <c r="Y331">
        <v>156.9</v>
      </c>
      <c r="Z331">
        <v>162.1</v>
      </c>
      <c r="AA331">
        <v>165.4</v>
      </c>
      <c r="AB331">
        <v>164.4</v>
      </c>
      <c r="AC331">
        <v>163.5</v>
      </c>
      <c r="AD331">
        <v>166.1</v>
      </c>
    </row>
    <row r="332" spans="1:30" x14ac:dyDescent="0.3">
      <c r="A332" t="s">
        <v>30</v>
      </c>
      <c r="B332">
        <v>2022</v>
      </c>
      <c r="C332" t="s">
        <v>36</v>
      </c>
      <c r="D332">
        <v>150.19999999999999</v>
      </c>
      <c r="E332">
        <v>208</v>
      </c>
      <c r="F332">
        <v>167.9</v>
      </c>
      <c r="G332">
        <v>162</v>
      </c>
      <c r="H332">
        <v>203.1</v>
      </c>
      <c r="I332">
        <v>155.9</v>
      </c>
      <c r="J332">
        <v>155.80000000000001</v>
      </c>
      <c r="K332">
        <v>164.2</v>
      </c>
      <c r="L332">
        <v>118.1</v>
      </c>
      <c r="M332">
        <v>178.7</v>
      </c>
      <c r="N332">
        <v>171.2</v>
      </c>
      <c r="O332">
        <v>177.4</v>
      </c>
      <c r="P332">
        <v>166.6</v>
      </c>
      <c r="Q332">
        <v>192.3</v>
      </c>
      <c r="R332">
        <v>175.4</v>
      </c>
      <c r="S332">
        <v>173.2</v>
      </c>
      <c r="T332">
        <v>175.1</v>
      </c>
      <c r="U332" t="s">
        <v>32</v>
      </c>
      <c r="V332">
        <v>168.9</v>
      </c>
      <c r="W332">
        <v>166.5</v>
      </c>
      <c r="X332">
        <v>176</v>
      </c>
      <c r="Y332">
        <v>162</v>
      </c>
      <c r="Z332">
        <v>166.6</v>
      </c>
      <c r="AA332">
        <v>170.6</v>
      </c>
      <c r="AB332">
        <v>167.4</v>
      </c>
      <c r="AC332">
        <v>168.3</v>
      </c>
      <c r="AD332">
        <v>168.7</v>
      </c>
    </row>
    <row r="333" spans="1:30" x14ac:dyDescent="0.3">
      <c r="A333" t="s">
        <v>33</v>
      </c>
      <c r="B333">
        <v>2022</v>
      </c>
      <c r="C333" t="s">
        <v>36</v>
      </c>
      <c r="D333">
        <v>153.69999999999999</v>
      </c>
      <c r="E333">
        <v>215.8</v>
      </c>
      <c r="F333">
        <v>167.7</v>
      </c>
      <c r="G333">
        <v>162.6</v>
      </c>
      <c r="H333">
        <v>180</v>
      </c>
      <c r="I333">
        <v>159.6</v>
      </c>
      <c r="J333">
        <v>188.4</v>
      </c>
      <c r="K333">
        <v>163.4</v>
      </c>
      <c r="L333">
        <v>120.3</v>
      </c>
      <c r="M333">
        <v>174.7</v>
      </c>
      <c r="N333">
        <v>157.1</v>
      </c>
      <c r="O333">
        <v>181.5</v>
      </c>
      <c r="P333">
        <v>171.5</v>
      </c>
      <c r="Q333">
        <v>197.5</v>
      </c>
      <c r="R333">
        <v>167.1</v>
      </c>
      <c r="S333">
        <v>152.6</v>
      </c>
      <c r="T333">
        <v>164.9</v>
      </c>
      <c r="U333">
        <v>165.3</v>
      </c>
      <c r="V333">
        <v>164.5</v>
      </c>
      <c r="W333">
        <v>158.6</v>
      </c>
      <c r="X333">
        <v>168.2</v>
      </c>
      <c r="Y333">
        <v>154.19999999999999</v>
      </c>
      <c r="Z333">
        <v>160.80000000000001</v>
      </c>
      <c r="AA333">
        <v>162.69999999999999</v>
      </c>
      <c r="AB333">
        <v>166.8</v>
      </c>
      <c r="AC333">
        <v>160.6</v>
      </c>
      <c r="AD333">
        <v>166.5</v>
      </c>
    </row>
    <row r="334" spans="1:30" x14ac:dyDescent="0.3">
      <c r="A334" t="s">
        <v>34</v>
      </c>
      <c r="B334">
        <v>2022</v>
      </c>
      <c r="C334" t="s">
        <v>36</v>
      </c>
      <c r="D334">
        <v>151.30000000000001</v>
      </c>
      <c r="E334">
        <v>210.7</v>
      </c>
      <c r="F334">
        <v>167.8</v>
      </c>
      <c r="G334">
        <v>162.19999999999999</v>
      </c>
      <c r="H334">
        <v>194.6</v>
      </c>
      <c r="I334">
        <v>157.6</v>
      </c>
      <c r="J334">
        <v>166.9</v>
      </c>
      <c r="K334">
        <v>163.9</v>
      </c>
      <c r="L334">
        <v>118.8</v>
      </c>
      <c r="M334">
        <v>177.4</v>
      </c>
      <c r="N334">
        <v>165.3</v>
      </c>
      <c r="O334">
        <v>179.3</v>
      </c>
      <c r="P334">
        <v>168.4</v>
      </c>
      <c r="Q334">
        <v>193.7</v>
      </c>
      <c r="R334">
        <v>172.1</v>
      </c>
      <c r="S334">
        <v>164.6</v>
      </c>
      <c r="T334">
        <v>171.1</v>
      </c>
      <c r="U334">
        <v>165.3</v>
      </c>
      <c r="V334">
        <v>167.2</v>
      </c>
      <c r="W334">
        <v>162.80000000000001</v>
      </c>
      <c r="X334">
        <v>173</v>
      </c>
      <c r="Y334">
        <v>157.9</v>
      </c>
      <c r="Z334">
        <v>163.30000000000001</v>
      </c>
      <c r="AA334">
        <v>166</v>
      </c>
      <c r="AB334">
        <v>167.2</v>
      </c>
      <c r="AC334">
        <v>164.6</v>
      </c>
      <c r="AD334">
        <v>167.7</v>
      </c>
    </row>
    <row r="335" spans="1:30" x14ac:dyDescent="0.3">
      <c r="A335" t="s">
        <v>30</v>
      </c>
      <c r="B335">
        <v>2022</v>
      </c>
      <c r="C335" t="s">
        <v>37</v>
      </c>
      <c r="D335">
        <v>151.80000000000001</v>
      </c>
      <c r="E335">
        <v>209.7</v>
      </c>
      <c r="F335">
        <v>164.5</v>
      </c>
      <c r="G335">
        <v>163.80000000000001</v>
      </c>
      <c r="H335">
        <v>207.4</v>
      </c>
      <c r="I335">
        <v>169.7</v>
      </c>
      <c r="J335">
        <v>153.6</v>
      </c>
      <c r="K335">
        <v>165.1</v>
      </c>
      <c r="L335">
        <v>118.2</v>
      </c>
      <c r="M335">
        <v>182.9</v>
      </c>
      <c r="N335">
        <v>172.4</v>
      </c>
      <c r="O335">
        <v>178.9</v>
      </c>
      <c r="P335">
        <v>168.6</v>
      </c>
      <c r="Q335">
        <v>192.8</v>
      </c>
      <c r="R335">
        <v>177.5</v>
      </c>
      <c r="S335">
        <v>175.1</v>
      </c>
      <c r="T335">
        <v>177.1</v>
      </c>
      <c r="U335" t="s">
        <v>32</v>
      </c>
      <c r="V335">
        <v>173.3</v>
      </c>
      <c r="W335">
        <v>167.7</v>
      </c>
      <c r="X335">
        <v>177</v>
      </c>
      <c r="Y335">
        <v>166.2</v>
      </c>
      <c r="Z335">
        <v>167.2</v>
      </c>
      <c r="AA335">
        <v>170.9</v>
      </c>
      <c r="AB335">
        <v>169</v>
      </c>
      <c r="AC335">
        <v>170.2</v>
      </c>
      <c r="AD335">
        <v>170.8</v>
      </c>
    </row>
    <row r="336" spans="1:30" x14ac:dyDescent="0.3">
      <c r="A336" t="s">
        <v>33</v>
      </c>
      <c r="B336">
        <v>2022</v>
      </c>
      <c r="C336" t="s">
        <v>37</v>
      </c>
      <c r="D336">
        <v>155.4</v>
      </c>
      <c r="E336">
        <v>215.8</v>
      </c>
      <c r="F336">
        <v>164.6</v>
      </c>
      <c r="G336">
        <v>164.2</v>
      </c>
      <c r="H336">
        <v>186</v>
      </c>
      <c r="I336">
        <v>175.9</v>
      </c>
      <c r="J336">
        <v>190.7</v>
      </c>
      <c r="K336">
        <v>164</v>
      </c>
      <c r="L336">
        <v>120.5</v>
      </c>
      <c r="M336">
        <v>178</v>
      </c>
      <c r="N336">
        <v>157.5</v>
      </c>
      <c r="O336">
        <v>183.3</v>
      </c>
      <c r="P336">
        <v>174.5</v>
      </c>
      <c r="Q336">
        <v>197.1</v>
      </c>
      <c r="R336">
        <v>168.4</v>
      </c>
      <c r="S336">
        <v>154.5</v>
      </c>
      <c r="T336">
        <v>166.3</v>
      </c>
      <c r="U336">
        <v>167</v>
      </c>
      <c r="V336">
        <v>170.5</v>
      </c>
      <c r="W336">
        <v>159.80000000000001</v>
      </c>
      <c r="X336">
        <v>169</v>
      </c>
      <c r="Y336">
        <v>159.30000000000001</v>
      </c>
      <c r="Z336">
        <v>162.19999999999999</v>
      </c>
      <c r="AA336">
        <v>164</v>
      </c>
      <c r="AB336">
        <v>168.4</v>
      </c>
      <c r="AC336">
        <v>163.1</v>
      </c>
      <c r="AD336">
        <v>169.2</v>
      </c>
    </row>
    <row r="337" spans="1:30" x14ac:dyDescent="0.3">
      <c r="A337" t="s">
        <v>34</v>
      </c>
      <c r="B337">
        <v>2022</v>
      </c>
      <c r="C337" t="s">
        <v>37</v>
      </c>
      <c r="D337">
        <v>152.9</v>
      </c>
      <c r="E337">
        <v>211.8</v>
      </c>
      <c r="F337">
        <v>164.5</v>
      </c>
      <c r="G337">
        <v>163.9</v>
      </c>
      <c r="H337">
        <v>199.5</v>
      </c>
      <c r="I337">
        <v>172.6</v>
      </c>
      <c r="J337">
        <v>166.2</v>
      </c>
      <c r="K337">
        <v>164.7</v>
      </c>
      <c r="L337">
        <v>119</v>
      </c>
      <c r="M337">
        <v>181.3</v>
      </c>
      <c r="N337">
        <v>166.2</v>
      </c>
      <c r="O337">
        <v>180.9</v>
      </c>
      <c r="P337">
        <v>170.8</v>
      </c>
      <c r="Q337">
        <v>193.9</v>
      </c>
      <c r="R337">
        <v>173.9</v>
      </c>
      <c r="S337">
        <v>166.5</v>
      </c>
      <c r="T337">
        <v>172.8</v>
      </c>
      <c r="U337">
        <v>167</v>
      </c>
      <c r="V337">
        <v>172.2</v>
      </c>
      <c r="W337">
        <v>164</v>
      </c>
      <c r="X337">
        <v>174</v>
      </c>
      <c r="Y337">
        <v>162.6</v>
      </c>
      <c r="Z337">
        <v>164.4</v>
      </c>
      <c r="AA337">
        <v>166.9</v>
      </c>
      <c r="AB337">
        <v>168.8</v>
      </c>
      <c r="AC337">
        <v>166.8</v>
      </c>
      <c r="AD337">
        <v>170.1</v>
      </c>
    </row>
    <row r="338" spans="1:30" x14ac:dyDescent="0.3">
      <c r="A338" t="s">
        <v>30</v>
      </c>
      <c r="B338">
        <v>2022</v>
      </c>
      <c r="C338" t="s">
        <v>38</v>
      </c>
      <c r="D338">
        <v>152.9</v>
      </c>
      <c r="E338">
        <v>214.7</v>
      </c>
      <c r="F338">
        <v>161.4</v>
      </c>
      <c r="G338">
        <v>164.6</v>
      </c>
      <c r="H338">
        <v>209.9</v>
      </c>
      <c r="I338">
        <v>168</v>
      </c>
      <c r="J338">
        <v>160.4</v>
      </c>
      <c r="K338">
        <v>165</v>
      </c>
      <c r="L338">
        <v>118.9</v>
      </c>
      <c r="M338">
        <v>186.6</v>
      </c>
      <c r="N338">
        <v>173.2</v>
      </c>
      <c r="O338">
        <v>180.4</v>
      </c>
      <c r="P338">
        <v>170.8</v>
      </c>
      <c r="Q338">
        <v>192.9</v>
      </c>
      <c r="R338">
        <v>179.3</v>
      </c>
      <c r="S338">
        <v>177.2</v>
      </c>
      <c r="T338">
        <v>179</v>
      </c>
      <c r="U338" t="s">
        <v>32</v>
      </c>
      <c r="V338">
        <v>175.3</v>
      </c>
      <c r="W338">
        <v>168.9</v>
      </c>
      <c r="X338">
        <v>177.7</v>
      </c>
      <c r="Y338">
        <v>167.1</v>
      </c>
      <c r="Z338">
        <v>167.6</v>
      </c>
      <c r="AA338">
        <v>171.8</v>
      </c>
      <c r="AB338">
        <v>168.5</v>
      </c>
      <c r="AC338">
        <v>170.9</v>
      </c>
      <c r="AD338">
        <v>172.5</v>
      </c>
    </row>
    <row r="339" spans="1:30" x14ac:dyDescent="0.3">
      <c r="A339" t="s">
        <v>33</v>
      </c>
      <c r="B339">
        <v>2022</v>
      </c>
      <c r="C339" t="s">
        <v>38</v>
      </c>
      <c r="D339">
        <v>156.69999999999999</v>
      </c>
      <c r="E339">
        <v>221.2</v>
      </c>
      <c r="F339">
        <v>164.1</v>
      </c>
      <c r="G339">
        <v>165.4</v>
      </c>
      <c r="H339">
        <v>189.5</v>
      </c>
      <c r="I339">
        <v>174.5</v>
      </c>
      <c r="J339">
        <v>203.2</v>
      </c>
      <c r="K339">
        <v>164.1</v>
      </c>
      <c r="L339">
        <v>121.2</v>
      </c>
      <c r="M339">
        <v>181.4</v>
      </c>
      <c r="N339">
        <v>158.5</v>
      </c>
      <c r="O339">
        <v>184.9</v>
      </c>
      <c r="P339">
        <v>177.5</v>
      </c>
      <c r="Q339">
        <v>197.5</v>
      </c>
      <c r="R339">
        <v>170</v>
      </c>
      <c r="S339">
        <v>155.9</v>
      </c>
      <c r="T339">
        <v>167.8</v>
      </c>
      <c r="U339">
        <v>167.5</v>
      </c>
      <c r="V339">
        <v>173.5</v>
      </c>
      <c r="W339">
        <v>161.1</v>
      </c>
      <c r="X339">
        <v>170.1</v>
      </c>
      <c r="Y339">
        <v>159.4</v>
      </c>
      <c r="Z339">
        <v>163.19999999999999</v>
      </c>
      <c r="AA339">
        <v>165.2</v>
      </c>
      <c r="AB339">
        <v>168.2</v>
      </c>
      <c r="AC339">
        <v>163.80000000000001</v>
      </c>
      <c r="AD339">
        <v>170.8</v>
      </c>
    </row>
    <row r="340" spans="1:30" x14ac:dyDescent="0.3">
      <c r="A340" t="s">
        <v>34</v>
      </c>
      <c r="B340">
        <v>2022</v>
      </c>
      <c r="C340" t="s">
        <v>38</v>
      </c>
      <c r="D340">
        <v>154.1</v>
      </c>
      <c r="E340">
        <v>217</v>
      </c>
      <c r="F340">
        <v>162.4</v>
      </c>
      <c r="G340">
        <v>164.9</v>
      </c>
      <c r="H340">
        <v>202.4</v>
      </c>
      <c r="I340">
        <v>171</v>
      </c>
      <c r="J340">
        <v>174.9</v>
      </c>
      <c r="K340">
        <v>164.7</v>
      </c>
      <c r="L340">
        <v>119.7</v>
      </c>
      <c r="M340">
        <v>184.9</v>
      </c>
      <c r="N340">
        <v>167.1</v>
      </c>
      <c r="O340">
        <v>182.5</v>
      </c>
      <c r="P340">
        <v>173.3</v>
      </c>
      <c r="Q340">
        <v>194.1</v>
      </c>
      <c r="R340">
        <v>175.6</v>
      </c>
      <c r="S340">
        <v>168.4</v>
      </c>
      <c r="T340">
        <v>174.6</v>
      </c>
      <c r="U340">
        <v>167.5</v>
      </c>
      <c r="V340">
        <v>174.6</v>
      </c>
      <c r="W340">
        <v>165.2</v>
      </c>
      <c r="X340">
        <v>174.8</v>
      </c>
      <c r="Y340">
        <v>163</v>
      </c>
      <c r="Z340">
        <v>165.1</v>
      </c>
      <c r="AA340">
        <v>167.9</v>
      </c>
      <c r="AB340">
        <v>168.4</v>
      </c>
      <c r="AC340">
        <v>167.5</v>
      </c>
      <c r="AD340">
        <v>171.7</v>
      </c>
    </row>
    <row r="341" spans="1:30" x14ac:dyDescent="0.3">
      <c r="A341" t="s">
        <v>30</v>
      </c>
      <c r="B341">
        <v>2022</v>
      </c>
      <c r="C341" t="s">
        <v>39</v>
      </c>
      <c r="D341">
        <v>153.80000000000001</v>
      </c>
      <c r="E341">
        <v>217.2</v>
      </c>
      <c r="F341">
        <v>169.6</v>
      </c>
      <c r="G341">
        <v>165.4</v>
      </c>
      <c r="H341">
        <v>208.1</v>
      </c>
      <c r="I341">
        <v>165.8</v>
      </c>
      <c r="J341">
        <v>167.3</v>
      </c>
      <c r="K341">
        <v>164.6</v>
      </c>
      <c r="L341">
        <v>119.1</v>
      </c>
      <c r="M341">
        <v>188.9</v>
      </c>
      <c r="N341">
        <v>174.2</v>
      </c>
      <c r="O341">
        <v>181.9</v>
      </c>
      <c r="P341">
        <v>172.4</v>
      </c>
      <c r="Q341">
        <v>192.9</v>
      </c>
      <c r="R341">
        <v>180.7</v>
      </c>
      <c r="S341">
        <v>178.7</v>
      </c>
      <c r="T341">
        <v>180.4</v>
      </c>
      <c r="U341" t="s">
        <v>32</v>
      </c>
      <c r="V341">
        <v>176.7</v>
      </c>
      <c r="W341">
        <v>170.3</v>
      </c>
      <c r="X341">
        <v>178.2</v>
      </c>
      <c r="Y341">
        <v>165.5</v>
      </c>
      <c r="Z341">
        <v>168</v>
      </c>
      <c r="AA341">
        <v>172.6</v>
      </c>
      <c r="AB341">
        <v>169.5</v>
      </c>
      <c r="AC341">
        <v>171</v>
      </c>
      <c r="AD341">
        <v>173.6</v>
      </c>
    </row>
    <row r="342" spans="1:30" x14ac:dyDescent="0.3">
      <c r="A342" t="s">
        <v>33</v>
      </c>
      <c r="B342">
        <v>2022</v>
      </c>
      <c r="C342" t="s">
        <v>39</v>
      </c>
      <c r="D342">
        <v>157.5</v>
      </c>
      <c r="E342">
        <v>223.4</v>
      </c>
      <c r="F342">
        <v>172.8</v>
      </c>
      <c r="G342">
        <v>166.4</v>
      </c>
      <c r="H342">
        <v>188.6</v>
      </c>
      <c r="I342">
        <v>174.1</v>
      </c>
      <c r="J342">
        <v>211.5</v>
      </c>
      <c r="K342">
        <v>163.6</v>
      </c>
      <c r="L342">
        <v>121.4</v>
      </c>
      <c r="M342">
        <v>183.5</v>
      </c>
      <c r="N342">
        <v>159.1</v>
      </c>
      <c r="O342">
        <v>186.3</v>
      </c>
      <c r="P342">
        <v>179.3</v>
      </c>
      <c r="Q342">
        <v>198.3</v>
      </c>
      <c r="R342">
        <v>171.6</v>
      </c>
      <c r="S342">
        <v>157.4</v>
      </c>
      <c r="T342">
        <v>169.4</v>
      </c>
      <c r="U342">
        <v>166.8</v>
      </c>
      <c r="V342">
        <v>174.9</v>
      </c>
      <c r="W342">
        <v>162.1</v>
      </c>
      <c r="X342">
        <v>170.9</v>
      </c>
      <c r="Y342">
        <v>157.19999999999999</v>
      </c>
      <c r="Z342">
        <v>164.1</v>
      </c>
      <c r="AA342">
        <v>166.5</v>
      </c>
      <c r="AB342">
        <v>169.2</v>
      </c>
      <c r="AC342">
        <v>163.80000000000001</v>
      </c>
      <c r="AD342">
        <v>171.4</v>
      </c>
    </row>
    <row r="343" spans="1:30" x14ac:dyDescent="0.3">
      <c r="A343" t="s">
        <v>34</v>
      </c>
      <c r="B343">
        <v>2022</v>
      </c>
      <c r="C343" t="s">
        <v>39</v>
      </c>
      <c r="D343">
        <v>155</v>
      </c>
      <c r="E343">
        <v>219.4</v>
      </c>
      <c r="F343">
        <v>170.8</v>
      </c>
      <c r="G343">
        <v>165.8</v>
      </c>
      <c r="H343">
        <v>200.9</v>
      </c>
      <c r="I343">
        <v>169.7</v>
      </c>
      <c r="J343">
        <v>182.3</v>
      </c>
      <c r="K343">
        <v>164.3</v>
      </c>
      <c r="L343">
        <v>119.9</v>
      </c>
      <c r="M343">
        <v>187.1</v>
      </c>
      <c r="N343">
        <v>167.9</v>
      </c>
      <c r="O343">
        <v>183.9</v>
      </c>
      <c r="P343">
        <v>174.9</v>
      </c>
      <c r="Q343">
        <v>194.3</v>
      </c>
      <c r="R343">
        <v>177.1</v>
      </c>
      <c r="S343">
        <v>169.9</v>
      </c>
      <c r="T343">
        <v>176</v>
      </c>
      <c r="U343">
        <v>166.8</v>
      </c>
      <c r="V343">
        <v>176</v>
      </c>
      <c r="W343">
        <v>166.4</v>
      </c>
      <c r="X343">
        <v>175.4</v>
      </c>
      <c r="Y343">
        <v>161.1</v>
      </c>
      <c r="Z343">
        <v>165.8</v>
      </c>
      <c r="AA343">
        <v>169</v>
      </c>
      <c r="AB343">
        <v>169.4</v>
      </c>
      <c r="AC343">
        <v>167.5</v>
      </c>
      <c r="AD343">
        <v>172.6</v>
      </c>
    </row>
    <row r="344" spans="1:30" x14ac:dyDescent="0.3">
      <c r="A344" t="s">
        <v>30</v>
      </c>
      <c r="B344">
        <v>2022</v>
      </c>
      <c r="C344" t="s">
        <v>40</v>
      </c>
      <c r="D344">
        <v>155.19999999999999</v>
      </c>
      <c r="E344">
        <v>210.8</v>
      </c>
      <c r="F344">
        <v>174.3</v>
      </c>
      <c r="G344">
        <v>166.3</v>
      </c>
      <c r="H344">
        <v>202.2</v>
      </c>
      <c r="I344">
        <v>169.6</v>
      </c>
      <c r="J344">
        <v>168.6</v>
      </c>
      <c r="K344">
        <v>164.4</v>
      </c>
      <c r="L344">
        <v>119.2</v>
      </c>
      <c r="M344">
        <v>191.8</v>
      </c>
      <c r="N344">
        <v>174.5</v>
      </c>
      <c r="O344">
        <v>183.1</v>
      </c>
      <c r="P344">
        <v>172.5</v>
      </c>
      <c r="Q344">
        <v>193.2</v>
      </c>
      <c r="R344">
        <v>182</v>
      </c>
      <c r="S344">
        <v>180.3</v>
      </c>
      <c r="T344">
        <v>181.7</v>
      </c>
      <c r="U344" t="s">
        <v>32</v>
      </c>
      <c r="V344">
        <v>179.6</v>
      </c>
      <c r="W344">
        <v>171.3</v>
      </c>
      <c r="X344">
        <v>178.8</v>
      </c>
      <c r="Y344">
        <v>166.3</v>
      </c>
      <c r="Z344">
        <v>168.6</v>
      </c>
      <c r="AA344">
        <v>174.7</v>
      </c>
      <c r="AB344">
        <v>169.7</v>
      </c>
      <c r="AC344">
        <v>171.8</v>
      </c>
      <c r="AD344">
        <v>174.3</v>
      </c>
    </row>
    <row r="345" spans="1:30" x14ac:dyDescent="0.3">
      <c r="A345" t="s">
        <v>33</v>
      </c>
      <c r="B345">
        <v>2022</v>
      </c>
      <c r="C345" t="s">
        <v>40</v>
      </c>
      <c r="D345">
        <v>159.30000000000001</v>
      </c>
      <c r="E345">
        <v>217.1</v>
      </c>
      <c r="F345">
        <v>176.6</v>
      </c>
      <c r="G345">
        <v>167.1</v>
      </c>
      <c r="H345">
        <v>184.8</v>
      </c>
      <c r="I345">
        <v>179.5</v>
      </c>
      <c r="J345">
        <v>208.5</v>
      </c>
      <c r="K345">
        <v>164</v>
      </c>
      <c r="L345">
        <v>121.5</v>
      </c>
      <c r="M345">
        <v>186.3</v>
      </c>
      <c r="N345">
        <v>159.80000000000001</v>
      </c>
      <c r="O345">
        <v>187.7</v>
      </c>
      <c r="P345">
        <v>179.4</v>
      </c>
      <c r="Q345">
        <v>198.6</v>
      </c>
      <c r="R345">
        <v>172.7</v>
      </c>
      <c r="S345">
        <v>158.69999999999999</v>
      </c>
      <c r="T345">
        <v>170.6</v>
      </c>
      <c r="U345">
        <v>167.8</v>
      </c>
      <c r="V345">
        <v>179.5</v>
      </c>
      <c r="W345">
        <v>163.1</v>
      </c>
      <c r="X345">
        <v>171.7</v>
      </c>
      <c r="Y345">
        <v>157.4</v>
      </c>
      <c r="Z345">
        <v>164.6</v>
      </c>
      <c r="AA345">
        <v>169.1</v>
      </c>
      <c r="AB345">
        <v>169.8</v>
      </c>
      <c r="AC345">
        <v>164.7</v>
      </c>
      <c r="AD345">
        <v>172.3</v>
      </c>
    </row>
    <row r="346" spans="1:30" x14ac:dyDescent="0.3">
      <c r="A346" t="s">
        <v>34</v>
      </c>
      <c r="B346">
        <v>2022</v>
      </c>
      <c r="C346" t="s">
        <v>40</v>
      </c>
      <c r="D346">
        <v>156.5</v>
      </c>
      <c r="E346">
        <v>213</v>
      </c>
      <c r="F346">
        <v>175.2</v>
      </c>
      <c r="G346">
        <v>166.6</v>
      </c>
      <c r="H346">
        <v>195.8</v>
      </c>
      <c r="I346">
        <v>174.2</v>
      </c>
      <c r="J346">
        <v>182.1</v>
      </c>
      <c r="K346">
        <v>164.3</v>
      </c>
      <c r="L346">
        <v>120</v>
      </c>
      <c r="M346">
        <v>190</v>
      </c>
      <c r="N346">
        <v>168.4</v>
      </c>
      <c r="O346">
        <v>185.2</v>
      </c>
      <c r="P346">
        <v>175</v>
      </c>
      <c r="Q346">
        <v>194.6</v>
      </c>
      <c r="R346">
        <v>178.3</v>
      </c>
      <c r="S346">
        <v>171.3</v>
      </c>
      <c r="T346">
        <v>177.3</v>
      </c>
      <c r="U346">
        <v>167.8</v>
      </c>
      <c r="V346">
        <v>179.6</v>
      </c>
      <c r="W346">
        <v>167.4</v>
      </c>
      <c r="X346">
        <v>176.1</v>
      </c>
      <c r="Y346">
        <v>161.6</v>
      </c>
      <c r="Z346">
        <v>166.3</v>
      </c>
      <c r="AA346">
        <v>171.4</v>
      </c>
      <c r="AB346">
        <v>169.7</v>
      </c>
      <c r="AC346">
        <v>168.4</v>
      </c>
      <c r="AD346">
        <v>173.4</v>
      </c>
    </row>
    <row r="347" spans="1:30" x14ac:dyDescent="0.3">
      <c r="A347" t="s">
        <v>30</v>
      </c>
      <c r="B347">
        <v>2022</v>
      </c>
      <c r="C347" t="s">
        <v>41</v>
      </c>
      <c r="D347">
        <v>159.5</v>
      </c>
      <c r="E347">
        <v>204.1</v>
      </c>
      <c r="F347">
        <v>168.3</v>
      </c>
      <c r="G347">
        <v>167.9</v>
      </c>
      <c r="H347">
        <v>198.1</v>
      </c>
      <c r="I347">
        <v>169.2</v>
      </c>
      <c r="J347">
        <v>173.1</v>
      </c>
      <c r="K347">
        <v>167.1</v>
      </c>
      <c r="L347">
        <v>120.2</v>
      </c>
      <c r="M347">
        <v>195.6</v>
      </c>
      <c r="N347">
        <v>174.8</v>
      </c>
      <c r="O347">
        <v>184</v>
      </c>
      <c r="P347">
        <v>173.9</v>
      </c>
      <c r="Q347">
        <v>193.7</v>
      </c>
      <c r="R347">
        <v>183.2</v>
      </c>
      <c r="S347">
        <v>181.7</v>
      </c>
      <c r="T347">
        <v>183</v>
      </c>
      <c r="U347" t="s">
        <v>32</v>
      </c>
      <c r="V347">
        <v>179.1</v>
      </c>
      <c r="W347">
        <v>172.3</v>
      </c>
      <c r="X347">
        <v>179.4</v>
      </c>
      <c r="Y347">
        <v>166.6</v>
      </c>
      <c r="Z347">
        <v>169.3</v>
      </c>
      <c r="AA347">
        <v>175.7</v>
      </c>
      <c r="AB347">
        <v>171.1</v>
      </c>
      <c r="AC347">
        <v>172.6</v>
      </c>
      <c r="AD347">
        <v>175.3</v>
      </c>
    </row>
    <row r="348" spans="1:30" x14ac:dyDescent="0.3">
      <c r="A348" t="s">
        <v>33</v>
      </c>
      <c r="B348">
        <v>2022</v>
      </c>
      <c r="C348" t="s">
        <v>41</v>
      </c>
      <c r="D348">
        <v>162.1</v>
      </c>
      <c r="E348">
        <v>210.9</v>
      </c>
      <c r="F348">
        <v>170.6</v>
      </c>
      <c r="G348">
        <v>168.4</v>
      </c>
      <c r="H348">
        <v>182.5</v>
      </c>
      <c r="I348">
        <v>177.1</v>
      </c>
      <c r="J348">
        <v>213.1</v>
      </c>
      <c r="K348">
        <v>167.3</v>
      </c>
      <c r="L348">
        <v>122.2</v>
      </c>
      <c r="M348">
        <v>189.7</v>
      </c>
      <c r="N348">
        <v>160.5</v>
      </c>
      <c r="O348">
        <v>188.9</v>
      </c>
      <c r="P348">
        <v>180.4</v>
      </c>
      <c r="Q348">
        <v>198.7</v>
      </c>
      <c r="R348">
        <v>173.7</v>
      </c>
      <c r="S348">
        <v>160</v>
      </c>
      <c r="T348">
        <v>171.6</v>
      </c>
      <c r="U348">
        <v>169</v>
      </c>
      <c r="V348">
        <v>178.4</v>
      </c>
      <c r="W348">
        <v>164.2</v>
      </c>
      <c r="X348">
        <v>172.6</v>
      </c>
      <c r="Y348">
        <v>157.69999999999999</v>
      </c>
      <c r="Z348">
        <v>165.1</v>
      </c>
      <c r="AA348">
        <v>169.9</v>
      </c>
      <c r="AB348">
        <v>171.4</v>
      </c>
      <c r="AC348">
        <v>165.4</v>
      </c>
      <c r="AD348">
        <v>173.1</v>
      </c>
    </row>
    <row r="349" spans="1:30" x14ac:dyDescent="0.3">
      <c r="A349" t="s">
        <v>34</v>
      </c>
      <c r="B349">
        <v>2022</v>
      </c>
      <c r="C349" t="s">
        <v>41</v>
      </c>
      <c r="D349">
        <v>160.30000000000001</v>
      </c>
      <c r="E349">
        <v>206.5</v>
      </c>
      <c r="F349">
        <v>169.2</v>
      </c>
      <c r="G349">
        <v>168.1</v>
      </c>
      <c r="H349">
        <v>192.4</v>
      </c>
      <c r="I349">
        <v>172.9</v>
      </c>
      <c r="J349">
        <v>186.7</v>
      </c>
      <c r="K349">
        <v>167.2</v>
      </c>
      <c r="L349">
        <v>120.9</v>
      </c>
      <c r="M349">
        <v>193.6</v>
      </c>
      <c r="N349">
        <v>168.8</v>
      </c>
      <c r="O349">
        <v>186.3</v>
      </c>
      <c r="P349">
        <v>176.3</v>
      </c>
      <c r="Q349">
        <v>195</v>
      </c>
      <c r="R349">
        <v>179.5</v>
      </c>
      <c r="S349">
        <v>172.7</v>
      </c>
      <c r="T349">
        <v>178.5</v>
      </c>
      <c r="U349">
        <v>169</v>
      </c>
      <c r="V349">
        <v>178.8</v>
      </c>
      <c r="W349">
        <v>168.5</v>
      </c>
      <c r="X349">
        <v>176.8</v>
      </c>
      <c r="Y349">
        <v>161.9</v>
      </c>
      <c r="Z349">
        <v>166.9</v>
      </c>
      <c r="AA349">
        <v>172.3</v>
      </c>
      <c r="AB349">
        <v>171.2</v>
      </c>
      <c r="AC349">
        <v>169.1</v>
      </c>
      <c r="AD349">
        <v>174.3</v>
      </c>
    </row>
    <row r="350" spans="1:30" x14ac:dyDescent="0.3">
      <c r="A350" t="s">
        <v>30</v>
      </c>
      <c r="B350">
        <v>2022</v>
      </c>
      <c r="C350" t="s">
        <v>42</v>
      </c>
      <c r="D350">
        <v>162.9</v>
      </c>
      <c r="E350">
        <v>206.7</v>
      </c>
      <c r="F350">
        <v>169</v>
      </c>
      <c r="G350">
        <v>169.5</v>
      </c>
      <c r="H350">
        <v>194.1</v>
      </c>
      <c r="I350">
        <v>164.1</v>
      </c>
      <c r="J350">
        <v>176.9</v>
      </c>
      <c r="K350">
        <v>169</v>
      </c>
      <c r="L350">
        <v>120.8</v>
      </c>
      <c r="M350">
        <v>199.1</v>
      </c>
      <c r="N350">
        <v>175.4</v>
      </c>
      <c r="O350">
        <v>184.8</v>
      </c>
      <c r="P350">
        <v>175.5</v>
      </c>
      <c r="Q350">
        <v>194.5</v>
      </c>
      <c r="R350">
        <v>184.7</v>
      </c>
      <c r="S350">
        <v>183.3</v>
      </c>
      <c r="T350">
        <v>184.5</v>
      </c>
      <c r="U350" t="s">
        <v>32</v>
      </c>
      <c r="V350">
        <v>179.7</v>
      </c>
      <c r="W350">
        <v>173.6</v>
      </c>
      <c r="X350">
        <v>180.2</v>
      </c>
      <c r="Y350">
        <v>166.9</v>
      </c>
      <c r="Z350">
        <v>170</v>
      </c>
      <c r="AA350">
        <v>176.2</v>
      </c>
      <c r="AB350">
        <v>170.8</v>
      </c>
      <c r="AC350">
        <v>173.1</v>
      </c>
      <c r="AD350">
        <v>176.4</v>
      </c>
    </row>
    <row r="351" spans="1:30" x14ac:dyDescent="0.3">
      <c r="A351" t="s">
        <v>33</v>
      </c>
      <c r="B351">
        <v>2022</v>
      </c>
      <c r="C351" t="s">
        <v>42</v>
      </c>
      <c r="D351">
        <v>164.9</v>
      </c>
      <c r="E351">
        <v>213.7</v>
      </c>
      <c r="F351">
        <v>170.9</v>
      </c>
      <c r="G351">
        <v>170.1</v>
      </c>
      <c r="H351">
        <v>179.3</v>
      </c>
      <c r="I351">
        <v>167.5</v>
      </c>
      <c r="J351">
        <v>220.8</v>
      </c>
      <c r="K351">
        <v>169.2</v>
      </c>
      <c r="L351">
        <v>123.1</v>
      </c>
      <c r="M351">
        <v>193.6</v>
      </c>
      <c r="N351">
        <v>161.1</v>
      </c>
      <c r="O351">
        <v>190.4</v>
      </c>
      <c r="P351">
        <v>181.8</v>
      </c>
      <c r="Q351">
        <v>199.7</v>
      </c>
      <c r="R351">
        <v>175</v>
      </c>
      <c r="S351">
        <v>161.69999999999999</v>
      </c>
      <c r="T351">
        <v>173</v>
      </c>
      <c r="U351">
        <v>169.5</v>
      </c>
      <c r="V351">
        <v>179.2</v>
      </c>
      <c r="W351">
        <v>165</v>
      </c>
      <c r="X351">
        <v>173.8</v>
      </c>
      <c r="Y351">
        <v>158.19999999999999</v>
      </c>
      <c r="Z351">
        <v>165.8</v>
      </c>
      <c r="AA351">
        <v>170.9</v>
      </c>
      <c r="AB351">
        <v>171.1</v>
      </c>
      <c r="AC351">
        <v>166.1</v>
      </c>
      <c r="AD351">
        <v>174.1</v>
      </c>
    </row>
    <row r="352" spans="1:30" x14ac:dyDescent="0.3">
      <c r="A352" t="s">
        <v>34</v>
      </c>
      <c r="B352">
        <v>2022</v>
      </c>
      <c r="C352" t="s">
        <v>42</v>
      </c>
      <c r="D352">
        <v>163.5</v>
      </c>
      <c r="E352">
        <v>209.2</v>
      </c>
      <c r="F352">
        <v>169.7</v>
      </c>
      <c r="G352">
        <v>169.7</v>
      </c>
      <c r="H352">
        <v>188.7</v>
      </c>
      <c r="I352">
        <v>165.7</v>
      </c>
      <c r="J352">
        <v>191.8</v>
      </c>
      <c r="K352">
        <v>169.1</v>
      </c>
      <c r="L352">
        <v>121.6</v>
      </c>
      <c r="M352">
        <v>197.3</v>
      </c>
      <c r="N352">
        <v>169.4</v>
      </c>
      <c r="O352">
        <v>187.4</v>
      </c>
      <c r="P352">
        <v>177.8</v>
      </c>
      <c r="Q352">
        <v>195.9</v>
      </c>
      <c r="R352">
        <v>180.9</v>
      </c>
      <c r="S352">
        <v>174.3</v>
      </c>
      <c r="T352">
        <v>179.9</v>
      </c>
      <c r="U352">
        <v>169.5</v>
      </c>
      <c r="V352">
        <v>179.5</v>
      </c>
      <c r="W352">
        <v>169.5</v>
      </c>
      <c r="X352">
        <v>177.8</v>
      </c>
      <c r="Y352">
        <v>162.30000000000001</v>
      </c>
      <c r="Z352">
        <v>167.6</v>
      </c>
      <c r="AA352">
        <v>173.1</v>
      </c>
      <c r="AB352">
        <v>170.9</v>
      </c>
      <c r="AC352">
        <v>169.7</v>
      </c>
      <c r="AD352">
        <v>175.3</v>
      </c>
    </row>
    <row r="353" spans="1:30" x14ac:dyDescent="0.3">
      <c r="A353" t="s">
        <v>30</v>
      </c>
      <c r="B353">
        <v>2022</v>
      </c>
      <c r="C353" t="s">
        <v>43</v>
      </c>
      <c r="D353">
        <v>164.7</v>
      </c>
      <c r="E353">
        <v>208.8</v>
      </c>
      <c r="F353">
        <v>170.3</v>
      </c>
      <c r="G353">
        <v>170.9</v>
      </c>
      <c r="H353">
        <v>191.6</v>
      </c>
      <c r="I353">
        <v>162.19999999999999</v>
      </c>
      <c r="J353">
        <v>184.8</v>
      </c>
      <c r="K353">
        <v>169.7</v>
      </c>
      <c r="L353">
        <v>121.1</v>
      </c>
      <c r="M353">
        <v>201.6</v>
      </c>
      <c r="N353">
        <v>175.8</v>
      </c>
      <c r="O353">
        <v>185.6</v>
      </c>
      <c r="P353">
        <v>177.4</v>
      </c>
      <c r="Q353">
        <v>194.9</v>
      </c>
      <c r="R353">
        <v>186.1</v>
      </c>
      <c r="S353">
        <v>184.4</v>
      </c>
      <c r="T353">
        <v>185.9</v>
      </c>
      <c r="U353" t="s">
        <v>32</v>
      </c>
      <c r="V353">
        <v>180.8</v>
      </c>
      <c r="W353">
        <v>174.4</v>
      </c>
      <c r="X353">
        <v>181.2</v>
      </c>
      <c r="Y353">
        <v>167.4</v>
      </c>
      <c r="Z353">
        <v>170.6</v>
      </c>
      <c r="AA353">
        <v>176.5</v>
      </c>
      <c r="AB353">
        <v>172</v>
      </c>
      <c r="AC353">
        <v>173.9</v>
      </c>
      <c r="AD353">
        <v>177.9</v>
      </c>
    </row>
    <row r="354" spans="1:30" x14ac:dyDescent="0.3">
      <c r="A354" t="s">
        <v>33</v>
      </c>
      <c r="B354">
        <v>2022</v>
      </c>
      <c r="C354" t="s">
        <v>43</v>
      </c>
      <c r="D354">
        <v>166.4</v>
      </c>
      <c r="E354">
        <v>214.9</v>
      </c>
      <c r="F354">
        <v>171.9</v>
      </c>
      <c r="G354">
        <v>171</v>
      </c>
      <c r="H354">
        <v>177.7</v>
      </c>
      <c r="I354">
        <v>165.7</v>
      </c>
      <c r="J354">
        <v>228.6</v>
      </c>
      <c r="K354">
        <v>169.9</v>
      </c>
      <c r="L354">
        <v>123.4</v>
      </c>
      <c r="M354">
        <v>196.4</v>
      </c>
      <c r="N354">
        <v>161.6</v>
      </c>
      <c r="O354">
        <v>191.5</v>
      </c>
      <c r="P354">
        <v>183.3</v>
      </c>
      <c r="Q354">
        <v>200.1</v>
      </c>
      <c r="R354">
        <v>175.5</v>
      </c>
      <c r="S354">
        <v>162.6</v>
      </c>
      <c r="T354">
        <v>173.6</v>
      </c>
      <c r="U354">
        <v>171.2</v>
      </c>
      <c r="V354">
        <v>180</v>
      </c>
      <c r="W354">
        <v>166</v>
      </c>
      <c r="X354">
        <v>174.7</v>
      </c>
      <c r="Y354">
        <v>158.80000000000001</v>
      </c>
      <c r="Z354">
        <v>166.3</v>
      </c>
      <c r="AA354">
        <v>171.2</v>
      </c>
      <c r="AB354">
        <v>172.3</v>
      </c>
      <c r="AC354">
        <v>166.8</v>
      </c>
      <c r="AD354">
        <v>175.3</v>
      </c>
    </row>
    <row r="355" spans="1:30" x14ac:dyDescent="0.3">
      <c r="A355" t="s">
        <v>34</v>
      </c>
      <c r="B355">
        <v>2022</v>
      </c>
      <c r="C355" t="s">
        <v>43</v>
      </c>
      <c r="D355">
        <v>165.2</v>
      </c>
      <c r="E355">
        <v>210.9</v>
      </c>
      <c r="F355">
        <v>170.9</v>
      </c>
      <c r="G355">
        <v>170.9</v>
      </c>
      <c r="H355">
        <v>186.5</v>
      </c>
      <c r="I355">
        <v>163.80000000000001</v>
      </c>
      <c r="J355">
        <v>199.7</v>
      </c>
      <c r="K355">
        <v>169.8</v>
      </c>
      <c r="L355">
        <v>121.9</v>
      </c>
      <c r="M355">
        <v>199.9</v>
      </c>
      <c r="N355">
        <v>169.9</v>
      </c>
      <c r="O355">
        <v>188.3</v>
      </c>
      <c r="P355">
        <v>179.6</v>
      </c>
      <c r="Q355">
        <v>196.3</v>
      </c>
      <c r="R355">
        <v>181.9</v>
      </c>
      <c r="S355">
        <v>175.3</v>
      </c>
      <c r="T355">
        <v>181</v>
      </c>
      <c r="U355">
        <v>171.2</v>
      </c>
      <c r="V355">
        <v>180.5</v>
      </c>
      <c r="W355">
        <v>170.4</v>
      </c>
      <c r="X355">
        <v>178.7</v>
      </c>
      <c r="Y355">
        <v>162.9</v>
      </c>
      <c r="Z355">
        <v>168.2</v>
      </c>
      <c r="AA355">
        <v>173.4</v>
      </c>
      <c r="AB355">
        <v>172.1</v>
      </c>
      <c r="AC355">
        <v>170.5</v>
      </c>
      <c r="AD355">
        <v>176.7</v>
      </c>
    </row>
    <row r="356" spans="1:30" x14ac:dyDescent="0.3">
      <c r="A356" t="s">
        <v>30</v>
      </c>
      <c r="B356">
        <v>2022</v>
      </c>
      <c r="C356" t="s">
        <v>45</v>
      </c>
      <c r="D356">
        <v>166.9</v>
      </c>
      <c r="E356">
        <v>207.2</v>
      </c>
      <c r="F356">
        <v>180.2</v>
      </c>
      <c r="G356">
        <v>172.3</v>
      </c>
      <c r="H356">
        <v>194</v>
      </c>
      <c r="I356">
        <v>159.1</v>
      </c>
      <c r="J356">
        <v>171.6</v>
      </c>
      <c r="K356">
        <v>170.2</v>
      </c>
      <c r="L356">
        <v>121.5</v>
      </c>
      <c r="M356">
        <v>204.8</v>
      </c>
      <c r="N356">
        <v>176.4</v>
      </c>
      <c r="O356">
        <v>186.9</v>
      </c>
      <c r="P356">
        <v>176.6</v>
      </c>
      <c r="Q356">
        <v>195.5</v>
      </c>
      <c r="R356">
        <v>187.2</v>
      </c>
      <c r="S356">
        <v>185.2</v>
      </c>
      <c r="T356">
        <v>186.9</v>
      </c>
      <c r="U356" t="s">
        <v>32</v>
      </c>
      <c r="V356">
        <v>181.9</v>
      </c>
      <c r="W356">
        <v>175.5</v>
      </c>
      <c r="X356">
        <v>182.3</v>
      </c>
      <c r="Y356">
        <v>167.5</v>
      </c>
      <c r="Z356">
        <v>170.8</v>
      </c>
      <c r="AA356">
        <v>176.9</v>
      </c>
      <c r="AB356">
        <v>173.4</v>
      </c>
      <c r="AC356">
        <v>174.6</v>
      </c>
      <c r="AD356">
        <v>177.8</v>
      </c>
    </row>
    <row r="357" spans="1:30" x14ac:dyDescent="0.3">
      <c r="A357" t="s">
        <v>33</v>
      </c>
      <c r="B357">
        <v>2022</v>
      </c>
      <c r="C357" t="s">
        <v>45</v>
      </c>
      <c r="D357">
        <v>168.4</v>
      </c>
      <c r="E357">
        <v>213.4</v>
      </c>
      <c r="F357">
        <v>183.2</v>
      </c>
      <c r="G357">
        <v>172.3</v>
      </c>
      <c r="H357">
        <v>180</v>
      </c>
      <c r="I357">
        <v>162.6</v>
      </c>
      <c r="J357">
        <v>205.5</v>
      </c>
      <c r="K357">
        <v>171</v>
      </c>
      <c r="L357">
        <v>123.4</v>
      </c>
      <c r="M357">
        <v>198.8</v>
      </c>
      <c r="N357">
        <v>162.1</v>
      </c>
      <c r="O357">
        <v>192.4</v>
      </c>
      <c r="P357">
        <v>181.3</v>
      </c>
      <c r="Q357">
        <v>200.6</v>
      </c>
      <c r="R357">
        <v>176.7</v>
      </c>
      <c r="S357">
        <v>163.5</v>
      </c>
      <c r="T357">
        <v>174.7</v>
      </c>
      <c r="U357">
        <v>171.8</v>
      </c>
      <c r="V357">
        <v>180.3</v>
      </c>
      <c r="W357">
        <v>166.9</v>
      </c>
      <c r="X357">
        <v>175.8</v>
      </c>
      <c r="Y357">
        <v>158.9</v>
      </c>
      <c r="Z357">
        <v>166.7</v>
      </c>
      <c r="AA357">
        <v>171.5</v>
      </c>
      <c r="AB357">
        <v>173.8</v>
      </c>
      <c r="AC357">
        <v>167.4</v>
      </c>
      <c r="AD357">
        <v>174.1</v>
      </c>
    </row>
    <row r="358" spans="1:30" x14ac:dyDescent="0.3">
      <c r="A358" t="s">
        <v>34</v>
      </c>
      <c r="B358">
        <v>2022</v>
      </c>
      <c r="C358" t="s">
        <v>45</v>
      </c>
      <c r="D358">
        <v>167.4</v>
      </c>
      <c r="E358">
        <v>209.4</v>
      </c>
      <c r="F358">
        <v>181.4</v>
      </c>
      <c r="G358">
        <v>172.3</v>
      </c>
      <c r="H358">
        <v>188.9</v>
      </c>
      <c r="I358">
        <v>160.69999999999999</v>
      </c>
      <c r="J358">
        <v>183.1</v>
      </c>
      <c r="K358">
        <v>170.5</v>
      </c>
      <c r="L358">
        <v>122.1</v>
      </c>
      <c r="M358">
        <v>202.8</v>
      </c>
      <c r="N358">
        <v>170.4</v>
      </c>
      <c r="O358">
        <v>189.5</v>
      </c>
      <c r="P358">
        <v>178.3</v>
      </c>
      <c r="Q358">
        <v>196.9</v>
      </c>
      <c r="R358">
        <v>183.1</v>
      </c>
      <c r="S358">
        <v>176.2</v>
      </c>
      <c r="T358">
        <v>182.1</v>
      </c>
      <c r="U358">
        <v>171.8</v>
      </c>
      <c r="V358">
        <v>181.3</v>
      </c>
      <c r="W358">
        <v>171.4</v>
      </c>
      <c r="X358">
        <v>179.8</v>
      </c>
      <c r="Y358">
        <v>163</v>
      </c>
      <c r="Z358">
        <v>168.5</v>
      </c>
      <c r="AA358">
        <v>173.7</v>
      </c>
      <c r="AB358">
        <v>173.6</v>
      </c>
      <c r="AC358">
        <v>171.1</v>
      </c>
      <c r="AD358">
        <v>176.5</v>
      </c>
    </row>
    <row r="359" spans="1:30" x14ac:dyDescent="0.3">
      <c r="A359" t="s">
        <v>30</v>
      </c>
      <c r="B359">
        <v>2022</v>
      </c>
      <c r="C359" t="s">
        <v>46</v>
      </c>
      <c r="D359">
        <v>168.8</v>
      </c>
      <c r="E359">
        <v>206.9</v>
      </c>
      <c r="F359">
        <v>189.1</v>
      </c>
      <c r="G359">
        <v>173.4</v>
      </c>
      <c r="H359">
        <v>193.9</v>
      </c>
      <c r="I359">
        <v>156.69999999999999</v>
      </c>
      <c r="J359">
        <v>150.19999999999999</v>
      </c>
      <c r="K359">
        <v>170.5</v>
      </c>
      <c r="L359">
        <v>121.2</v>
      </c>
      <c r="M359">
        <v>207.5</v>
      </c>
      <c r="N359">
        <v>176.8</v>
      </c>
      <c r="O359">
        <v>187.7</v>
      </c>
      <c r="P359">
        <v>174.4</v>
      </c>
      <c r="Q359">
        <v>195.9</v>
      </c>
      <c r="R359">
        <v>188.1</v>
      </c>
      <c r="S359">
        <v>185.9</v>
      </c>
      <c r="T359">
        <v>187.8</v>
      </c>
      <c r="U359" t="s">
        <v>32</v>
      </c>
      <c r="V359">
        <v>182.8</v>
      </c>
      <c r="W359">
        <v>176.4</v>
      </c>
      <c r="X359">
        <v>183.5</v>
      </c>
      <c r="Y359">
        <v>167.8</v>
      </c>
      <c r="Z359">
        <v>171.2</v>
      </c>
      <c r="AA359">
        <v>177.3</v>
      </c>
      <c r="AB359">
        <v>175.7</v>
      </c>
      <c r="AC359">
        <v>175.5</v>
      </c>
      <c r="AD359">
        <v>177.1</v>
      </c>
    </row>
    <row r="360" spans="1:30" x14ac:dyDescent="0.3">
      <c r="A360" t="s">
        <v>33</v>
      </c>
      <c r="B360">
        <v>2022</v>
      </c>
      <c r="C360" t="s">
        <v>46</v>
      </c>
      <c r="D360">
        <v>170.2</v>
      </c>
      <c r="E360">
        <v>212.9</v>
      </c>
      <c r="F360">
        <v>191.9</v>
      </c>
      <c r="G360">
        <v>173.9</v>
      </c>
      <c r="H360">
        <v>179.1</v>
      </c>
      <c r="I360">
        <v>159.5</v>
      </c>
      <c r="J360">
        <v>178.7</v>
      </c>
      <c r="K360">
        <v>171.3</v>
      </c>
      <c r="L360">
        <v>123.1</v>
      </c>
      <c r="M360">
        <v>200.5</v>
      </c>
      <c r="N360">
        <v>162.80000000000001</v>
      </c>
      <c r="O360">
        <v>193.3</v>
      </c>
      <c r="P360">
        <v>178.6</v>
      </c>
      <c r="Q360">
        <v>201.1</v>
      </c>
      <c r="R360">
        <v>177.7</v>
      </c>
      <c r="S360">
        <v>164.5</v>
      </c>
      <c r="T360">
        <v>175.7</v>
      </c>
      <c r="U360">
        <v>170.7</v>
      </c>
      <c r="V360">
        <v>180.6</v>
      </c>
      <c r="W360">
        <v>167.3</v>
      </c>
      <c r="X360">
        <v>177.2</v>
      </c>
      <c r="Y360">
        <v>159.4</v>
      </c>
      <c r="Z360">
        <v>167.1</v>
      </c>
      <c r="AA360">
        <v>171.8</v>
      </c>
      <c r="AB360">
        <v>176</v>
      </c>
      <c r="AC360">
        <v>168.2</v>
      </c>
      <c r="AD360">
        <v>174.1</v>
      </c>
    </row>
    <row r="361" spans="1:30" x14ac:dyDescent="0.3">
      <c r="A361" t="s">
        <v>34</v>
      </c>
      <c r="B361">
        <v>2022</v>
      </c>
      <c r="C361" t="s">
        <v>46</v>
      </c>
      <c r="D361">
        <v>169.2</v>
      </c>
      <c r="E361">
        <v>209</v>
      </c>
      <c r="F361">
        <v>190.2</v>
      </c>
      <c r="G361">
        <v>173.6</v>
      </c>
      <c r="H361">
        <v>188.5</v>
      </c>
      <c r="I361">
        <v>158</v>
      </c>
      <c r="J361">
        <v>159.9</v>
      </c>
      <c r="K361">
        <v>170.8</v>
      </c>
      <c r="L361">
        <v>121.8</v>
      </c>
      <c r="M361">
        <v>205.2</v>
      </c>
      <c r="N361">
        <v>171</v>
      </c>
      <c r="O361">
        <v>190.3</v>
      </c>
      <c r="P361">
        <v>175.9</v>
      </c>
      <c r="Q361">
        <v>197.3</v>
      </c>
      <c r="R361">
        <v>184</v>
      </c>
      <c r="S361">
        <v>177</v>
      </c>
      <c r="T361">
        <v>183</v>
      </c>
      <c r="U361">
        <v>170.7</v>
      </c>
      <c r="V361">
        <v>182</v>
      </c>
      <c r="W361">
        <v>172.1</v>
      </c>
      <c r="X361">
        <v>181.1</v>
      </c>
      <c r="Y361">
        <v>163.4</v>
      </c>
      <c r="Z361">
        <v>168.9</v>
      </c>
      <c r="AA361">
        <v>174.1</v>
      </c>
      <c r="AB361">
        <v>175.8</v>
      </c>
      <c r="AC361">
        <v>172</v>
      </c>
      <c r="AD361">
        <v>175.7</v>
      </c>
    </row>
    <row r="362" spans="1:30" x14ac:dyDescent="0.3">
      <c r="A362" t="s">
        <v>30</v>
      </c>
      <c r="B362">
        <v>2023</v>
      </c>
      <c r="C362" t="s">
        <v>31</v>
      </c>
      <c r="D362">
        <v>174</v>
      </c>
      <c r="E362">
        <v>208.3</v>
      </c>
      <c r="F362">
        <v>192.9</v>
      </c>
      <c r="G362">
        <v>174.3</v>
      </c>
      <c r="H362">
        <v>192.6</v>
      </c>
      <c r="I362">
        <v>156.30000000000001</v>
      </c>
      <c r="J362">
        <v>142.9</v>
      </c>
      <c r="K362">
        <v>170.7</v>
      </c>
      <c r="L362">
        <v>120.3</v>
      </c>
      <c r="M362">
        <v>210.5</v>
      </c>
      <c r="N362">
        <v>176.9</v>
      </c>
      <c r="O362">
        <v>188.5</v>
      </c>
      <c r="P362">
        <v>175</v>
      </c>
      <c r="Q362">
        <v>196.9</v>
      </c>
      <c r="R362">
        <v>189</v>
      </c>
      <c r="S362">
        <v>186.3</v>
      </c>
      <c r="T362">
        <v>188.6</v>
      </c>
      <c r="U362" t="s">
        <v>32</v>
      </c>
      <c r="V362">
        <v>183.2</v>
      </c>
      <c r="W362">
        <v>177.2</v>
      </c>
      <c r="X362">
        <v>184.7</v>
      </c>
      <c r="Y362">
        <v>168.2</v>
      </c>
      <c r="Z362">
        <v>171.8</v>
      </c>
      <c r="AA362">
        <v>177.8</v>
      </c>
      <c r="AB362">
        <v>178.4</v>
      </c>
      <c r="AC362">
        <v>176.5</v>
      </c>
      <c r="AD362">
        <v>177.8</v>
      </c>
    </row>
    <row r="363" spans="1:30" x14ac:dyDescent="0.3">
      <c r="A363" t="s">
        <v>33</v>
      </c>
      <c r="B363">
        <v>2023</v>
      </c>
      <c r="C363" t="s">
        <v>31</v>
      </c>
      <c r="D363">
        <v>173.3</v>
      </c>
      <c r="E363">
        <v>215.2</v>
      </c>
      <c r="F363">
        <v>197</v>
      </c>
      <c r="G363">
        <v>175.2</v>
      </c>
      <c r="H363">
        <v>178</v>
      </c>
      <c r="I363">
        <v>160.5</v>
      </c>
      <c r="J363">
        <v>175.3</v>
      </c>
      <c r="K363">
        <v>171.2</v>
      </c>
      <c r="L363">
        <v>122.7</v>
      </c>
      <c r="M363">
        <v>204.3</v>
      </c>
      <c r="N363">
        <v>163.69999999999999</v>
      </c>
      <c r="O363">
        <v>194.3</v>
      </c>
      <c r="P363">
        <v>179.5</v>
      </c>
      <c r="Q363">
        <v>201.6</v>
      </c>
      <c r="R363">
        <v>178.7</v>
      </c>
      <c r="S363">
        <v>165.3</v>
      </c>
      <c r="T363">
        <v>176.6</v>
      </c>
      <c r="U363">
        <v>172.1</v>
      </c>
      <c r="V363">
        <v>180.1</v>
      </c>
      <c r="W363">
        <v>168</v>
      </c>
      <c r="X363">
        <v>178.5</v>
      </c>
      <c r="Y363">
        <v>159.5</v>
      </c>
      <c r="Z363">
        <v>167.8</v>
      </c>
      <c r="AA363">
        <v>171.8</v>
      </c>
      <c r="AB363">
        <v>178.8</v>
      </c>
      <c r="AC363">
        <v>168.9</v>
      </c>
      <c r="AD363">
        <v>174.9</v>
      </c>
    </row>
    <row r="364" spans="1:30" x14ac:dyDescent="0.3">
      <c r="A364" t="s">
        <v>34</v>
      </c>
      <c r="B364">
        <v>2023</v>
      </c>
      <c r="C364" t="s">
        <v>31</v>
      </c>
      <c r="D364">
        <v>173.8</v>
      </c>
      <c r="E364">
        <v>210.7</v>
      </c>
      <c r="F364">
        <v>194.5</v>
      </c>
      <c r="G364">
        <v>174.6</v>
      </c>
      <c r="H364">
        <v>187.2</v>
      </c>
      <c r="I364">
        <v>158.30000000000001</v>
      </c>
      <c r="J364">
        <v>153.9</v>
      </c>
      <c r="K364">
        <v>170.9</v>
      </c>
      <c r="L364">
        <v>121.1</v>
      </c>
      <c r="M364">
        <v>208.4</v>
      </c>
      <c r="N364">
        <v>171.4</v>
      </c>
      <c r="O364">
        <v>191.2</v>
      </c>
      <c r="P364">
        <v>176.7</v>
      </c>
      <c r="Q364">
        <v>198.2</v>
      </c>
      <c r="R364">
        <v>184.9</v>
      </c>
      <c r="S364">
        <v>177.6</v>
      </c>
      <c r="T364">
        <v>183.8</v>
      </c>
      <c r="U364">
        <v>172.1</v>
      </c>
      <c r="V364">
        <v>182</v>
      </c>
      <c r="W364">
        <v>172.9</v>
      </c>
      <c r="X364">
        <v>182.3</v>
      </c>
      <c r="Y364">
        <v>163.6</v>
      </c>
      <c r="Z364">
        <v>169.5</v>
      </c>
      <c r="AA364">
        <v>174.3</v>
      </c>
      <c r="AB364">
        <v>178.6</v>
      </c>
      <c r="AC364">
        <v>172.8</v>
      </c>
      <c r="AD364">
        <v>176.5</v>
      </c>
    </row>
    <row r="365" spans="1:30" x14ac:dyDescent="0.3">
      <c r="A365" t="s">
        <v>30</v>
      </c>
      <c r="B365">
        <v>2023</v>
      </c>
      <c r="C365" t="s">
        <v>35</v>
      </c>
      <c r="D365">
        <v>174.2</v>
      </c>
      <c r="E365">
        <v>205.2</v>
      </c>
      <c r="F365">
        <v>173.9</v>
      </c>
      <c r="G365">
        <v>177</v>
      </c>
      <c r="H365">
        <v>183.4</v>
      </c>
      <c r="I365">
        <v>167.2</v>
      </c>
      <c r="J365">
        <v>140.9</v>
      </c>
      <c r="K365">
        <v>170.4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198.3</v>
      </c>
      <c r="R365">
        <v>190</v>
      </c>
      <c r="S365">
        <v>187</v>
      </c>
      <c r="T365">
        <v>189.6</v>
      </c>
      <c r="U365" t="s">
        <v>32</v>
      </c>
      <c r="V365">
        <v>181.6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175.8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180.7</v>
      </c>
      <c r="Q366">
        <v>202.7</v>
      </c>
      <c r="R366">
        <v>180.3</v>
      </c>
      <c r="S366">
        <v>167</v>
      </c>
      <c r="T366">
        <v>178.2</v>
      </c>
      <c r="U366">
        <v>173.5</v>
      </c>
      <c r="V366">
        <v>182.8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181.4</v>
      </c>
      <c r="AC366">
        <v>170</v>
      </c>
      <c r="AD366">
        <v>176.3</v>
      </c>
    </row>
    <row r="367" spans="1:30" x14ac:dyDescent="0.3">
      <c r="A367" t="s">
        <v>34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179.3</v>
      </c>
      <c r="I367">
        <v>169.5</v>
      </c>
      <c r="J367">
        <v>152.69999999999999</v>
      </c>
      <c r="K367">
        <v>171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186.2</v>
      </c>
      <c r="S367">
        <v>178.7</v>
      </c>
      <c r="T367">
        <v>185.1</v>
      </c>
      <c r="U367">
        <v>173.5</v>
      </c>
      <c r="V367">
        <v>182.1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36</v>
      </c>
      <c r="D368">
        <v>174.3</v>
      </c>
      <c r="E368">
        <v>205.2</v>
      </c>
      <c r="F368">
        <v>173.9</v>
      </c>
      <c r="G368">
        <v>177</v>
      </c>
      <c r="H368">
        <v>183.3</v>
      </c>
      <c r="I368">
        <v>167.2</v>
      </c>
      <c r="J368">
        <v>140.9</v>
      </c>
      <c r="K368">
        <v>170.5</v>
      </c>
      <c r="L368">
        <v>119.1</v>
      </c>
      <c r="M368">
        <v>212.1</v>
      </c>
      <c r="N368">
        <v>177.6</v>
      </c>
      <c r="O368">
        <v>189.9</v>
      </c>
      <c r="P368">
        <v>174.8</v>
      </c>
      <c r="Q368">
        <v>198.4</v>
      </c>
      <c r="R368">
        <v>190</v>
      </c>
      <c r="S368">
        <v>187</v>
      </c>
      <c r="T368">
        <v>189.6</v>
      </c>
      <c r="U368" t="s">
        <v>32</v>
      </c>
      <c r="V368">
        <v>181.4</v>
      </c>
      <c r="W368">
        <v>178.6</v>
      </c>
      <c r="X368">
        <v>186.6</v>
      </c>
      <c r="Y368">
        <v>169</v>
      </c>
      <c r="Z368">
        <v>172.8</v>
      </c>
      <c r="AA368">
        <v>178.5</v>
      </c>
      <c r="AB368">
        <v>180.7</v>
      </c>
      <c r="AC368">
        <v>177.9</v>
      </c>
      <c r="AD368">
        <v>178</v>
      </c>
    </row>
    <row r="369" spans="1:30" x14ac:dyDescent="0.3">
      <c r="A369" t="s">
        <v>33</v>
      </c>
      <c r="B369">
        <v>2023</v>
      </c>
      <c r="C369" t="s">
        <v>36</v>
      </c>
      <c r="D369">
        <v>174.7</v>
      </c>
      <c r="E369">
        <v>212.2</v>
      </c>
      <c r="F369">
        <v>177.2</v>
      </c>
      <c r="G369">
        <v>177.9</v>
      </c>
      <c r="H369">
        <v>172.2</v>
      </c>
      <c r="I369">
        <v>172.1</v>
      </c>
      <c r="J369">
        <v>175.9</v>
      </c>
      <c r="K369">
        <v>172.2</v>
      </c>
      <c r="L369">
        <v>121.9</v>
      </c>
      <c r="M369">
        <v>204.8</v>
      </c>
      <c r="N369">
        <v>164.9</v>
      </c>
      <c r="O369">
        <v>196.6</v>
      </c>
      <c r="P369">
        <v>180.8</v>
      </c>
      <c r="Q369">
        <v>202.7</v>
      </c>
      <c r="R369">
        <v>180.2</v>
      </c>
      <c r="S369">
        <v>167</v>
      </c>
      <c r="T369">
        <v>178.2</v>
      </c>
      <c r="U369">
        <v>173.5</v>
      </c>
      <c r="V369">
        <v>182.6</v>
      </c>
      <c r="W369">
        <v>169.2</v>
      </c>
      <c r="X369">
        <v>180.8</v>
      </c>
      <c r="Y369">
        <v>159.80000000000001</v>
      </c>
      <c r="Z369">
        <v>168.4</v>
      </c>
      <c r="AA369">
        <v>172.5</v>
      </c>
      <c r="AB369">
        <v>181.5</v>
      </c>
      <c r="AC369">
        <v>170</v>
      </c>
      <c r="AD369">
        <v>176.3</v>
      </c>
    </row>
    <row r="370" spans="1:30" x14ac:dyDescent="0.3">
      <c r="A370" t="s">
        <v>34</v>
      </c>
      <c r="B370">
        <v>2023</v>
      </c>
      <c r="C370" t="s">
        <v>36</v>
      </c>
      <c r="D370">
        <v>174.4</v>
      </c>
      <c r="E370">
        <v>207.7</v>
      </c>
      <c r="F370">
        <v>175.2</v>
      </c>
      <c r="G370">
        <v>177.3</v>
      </c>
      <c r="H370">
        <v>179.2</v>
      </c>
      <c r="I370">
        <v>169.5</v>
      </c>
      <c r="J370">
        <v>152.80000000000001</v>
      </c>
      <c r="K370">
        <v>171.1</v>
      </c>
      <c r="L370">
        <v>120</v>
      </c>
      <c r="M370">
        <v>209.7</v>
      </c>
      <c r="N370">
        <v>172.3</v>
      </c>
      <c r="O370">
        <v>193</v>
      </c>
      <c r="P370">
        <v>177</v>
      </c>
      <c r="Q370">
        <v>199.5</v>
      </c>
      <c r="R370">
        <v>186.1</v>
      </c>
      <c r="S370">
        <v>178.7</v>
      </c>
      <c r="T370">
        <v>185.1</v>
      </c>
      <c r="U370">
        <v>173.5</v>
      </c>
      <c r="V370">
        <v>181.9</v>
      </c>
      <c r="W370">
        <v>174.2</v>
      </c>
      <c r="X370">
        <v>184.4</v>
      </c>
      <c r="Y370">
        <v>164.2</v>
      </c>
      <c r="Z370">
        <v>170.3</v>
      </c>
      <c r="AA370">
        <v>175</v>
      </c>
      <c r="AB370">
        <v>181</v>
      </c>
      <c r="AC370">
        <v>174.1</v>
      </c>
      <c r="AD370">
        <v>177.2</v>
      </c>
    </row>
    <row r="371" spans="1:30" x14ac:dyDescent="0.3">
      <c r="A371" t="s">
        <v>30</v>
      </c>
      <c r="B371">
        <v>2023</v>
      </c>
      <c r="C371" t="s">
        <v>37</v>
      </c>
      <c r="D371">
        <v>173.3</v>
      </c>
      <c r="E371">
        <v>206.9</v>
      </c>
      <c r="F371">
        <v>167.9</v>
      </c>
      <c r="G371">
        <v>178.2</v>
      </c>
      <c r="H371">
        <v>178.5</v>
      </c>
      <c r="I371">
        <v>173.7</v>
      </c>
      <c r="J371">
        <v>142.80000000000001</v>
      </c>
      <c r="K371">
        <v>172.8</v>
      </c>
      <c r="L371">
        <v>120.4</v>
      </c>
      <c r="M371">
        <v>215.5</v>
      </c>
      <c r="N371">
        <v>178.2</v>
      </c>
      <c r="O371">
        <v>190.5</v>
      </c>
      <c r="P371">
        <v>175.5</v>
      </c>
      <c r="Q371">
        <v>199.5</v>
      </c>
      <c r="R371">
        <v>190.7</v>
      </c>
      <c r="S371">
        <v>187.3</v>
      </c>
      <c r="T371">
        <v>190.2</v>
      </c>
      <c r="U371" t="s">
        <v>48</v>
      </c>
      <c r="V371">
        <v>181.5</v>
      </c>
      <c r="W371">
        <v>179.1</v>
      </c>
      <c r="X371">
        <v>187.2</v>
      </c>
      <c r="Y371">
        <v>169.4</v>
      </c>
      <c r="Z371">
        <v>173.2</v>
      </c>
      <c r="AA371">
        <v>179.4</v>
      </c>
      <c r="AB371">
        <v>183.8</v>
      </c>
      <c r="AC371">
        <v>178.9</v>
      </c>
      <c r="AD371">
        <v>178.8</v>
      </c>
    </row>
    <row r="372" spans="1:30" x14ac:dyDescent="0.3">
      <c r="A372" t="s">
        <v>33</v>
      </c>
      <c r="B372">
        <v>2023</v>
      </c>
      <c r="C372" t="s">
        <v>37</v>
      </c>
      <c r="D372">
        <v>174.8</v>
      </c>
      <c r="E372">
        <v>213.7</v>
      </c>
      <c r="F372">
        <v>172.4</v>
      </c>
      <c r="G372">
        <v>178.8</v>
      </c>
      <c r="H372">
        <v>168.7</v>
      </c>
      <c r="I372">
        <v>179.2</v>
      </c>
      <c r="J372">
        <v>179.9</v>
      </c>
      <c r="K372">
        <v>174.7</v>
      </c>
      <c r="L372">
        <v>123.1</v>
      </c>
      <c r="M372">
        <v>207.8</v>
      </c>
      <c r="N372">
        <v>165.5</v>
      </c>
      <c r="O372">
        <v>197</v>
      </c>
      <c r="P372">
        <v>182.1</v>
      </c>
      <c r="Q372">
        <v>203.5</v>
      </c>
      <c r="R372">
        <v>181</v>
      </c>
      <c r="S372">
        <v>167.7</v>
      </c>
      <c r="T372">
        <v>178.9</v>
      </c>
      <c r="U372">
        <v>175.2</v>
      </c>
      <c r="V372">
        <v>182.1</v>
      </c>
      <c r="W372">
        <v>169.6</v>
      </c>
      <c r="X372">
        <v>181.5</v>
      </c>
      <c r="Y372">
        <v>160.1</v>
      </c>
      <c r="Z372">
        <v>168.8</v>
      </c>
      <c r="AA372">
        <v>174.2</v>
      </c>
      <c r="AB372">
        <v>184.4</v>
      </c>
      <c r="AC372">
        <v>170.9</v>
      </c>
      <c r="AD372">
        <v>177.4</v>
      </c>
    </row>
    <row r="373" spans="1:30" x14ac:dyDescent="0.3">
      <c r="A373" t="s">
        <v>34</v>
      </c>
      <c r="B373">
        <v>2023</v>
      </c>
      <c r="C373" t="s">
        <v>37</v>
      </c>
      <c r="D373">
        <v>173.8</v>
      </c>
      <c r="E373">
        <v>209.3</v>
      </c>
      <c r="F373">
        <v>169.6</v>
      </c>
      <c r="G373">
        <v>178.4</v>
      </c>
      <c r="H373">
        <v>174.9</v>
      </c>
      <c r="I373">
        <v>176.3</v>
      </c>
      <c r="J373">
        <v>155.4</v>
      </c>
      <c r="K373">
        <v>173.4</v>
      </c>
      <c r="L373">
        <v>121.3</v>
      </c>
      <c r="M373">
        <v>212.9</v>
      </c>
      <c r="N373">
        <v>172.9</v>
      </c>
      <c r="O373">
        <v>193.5</v>
      </c>
      <c r="P373">
        <v>177.9</v>
      </c>
      <c r="Q373">
        <v>200.6</v>
      </c>
      <c r="R373">
        <v>186.9</v>
      </c>
      <c r="S373">
        <v>179.2</v>
      </c>
      <c r="T373">
        <v>185.7</v>
      </c>
      <c r="U373">
        <v>175.2</v>
      </c>
      <c r="V373">
        <v>181.7</v>
      </c>
      <c r="W373">
        <v>174.6</v>
      </c>
      <c r="X373">
        <v>185</v>
      </c>
      <c r="Y373">
        <v>164.5</v>
      </c>
      <c r="Z373">
        <v>170.7</v>
      </c>
      <c r="AA373">
        <v>176.4</v>
      </c>
      <c r="AB373">
        <v>184</v>
      </c>
      <c r="AC373">
        <v>175</v>
      </c>
      <c r="AD373">
        <v>178.1</v>
      </c>
    </row>
    <row r="374" spans="1:30" x14ac:dyDescent="0.3">
      <c r="A374" t="s">
        <v>30</v>
      </c>
      <c r="B374">
        <v>2023</v>
      </c>
      <c r="C374" t="s">
        <v>38</v>
      </c>
      <c r="D374">
        <v>173.2</v>
      </c>
      <c r="E374">
        <v>211.5</v>
      </c>
      <c r="F374">
        <v>171</v>
      </c>
      <c r="G374">
        <v>179.6</v>
      </c>
      <c r="H374">
        <v>173.3</v>
      </c>
      <c r="I374">
        <v>169</v>
      </c>
      <c r="J374">
        <v>148.69999999999999</v>
      </c>
      <c r="K374">
        <v>174.9</v>
      </c>
      <c r="L374">
        <v>121.9</v>
      </c>
      <c r="M374">
        <v>221</v>
      </c>
      <c r="N374">
        <v>178.7</v>
      </c>
      <c r="O374">
        <v>191.1</v>
      </c>
      <c r="P374">
        <v>176.8</v>
      </c>
      <c r="Q374">
        <v>199.9</v>
      </c>
      <c r="R374">
        <v>191.2</v>
      </c>
      <c r="S374">
        <v>187.9</v>
      </c>
      <c r="T374">
        <v>190.8</v>
      </c>
      <c r="U374" t="s">
        <v>48</v>
      </c>
      <c r="V374">
        <v>182.5</v>
      </c>
      <c r="W374">
        <v>179.8</v>
      </c>
      <c r="X374">
        <v>187.8</v>
      </c>
      <c r="Y374">
        <v>169.7</v>
      </c>
      <c r="Z374">
        <v>173.8</v>
      </c>
      <c r="AA374">
        <v>180.3</v>
      </c>
      <c r="AB374">
        <v>184.9</v>
      </c>
      <c r="AC374">
        <v>179.5</v>
      </c>
      <c r="AD374">
        <v>179.8</v>
      </c>
    </row>
    <row r="375" spans="1:30" x14ac:dyDescent="0.3">
      <c r="A375" t="s">
        <v>33</v>
      </c>
      <c r="B375">
        <v>2023</v>
      </c>
      <c r="C375" t="s">
        <v>38</v>
      </c>
      <c r="D375">
        <v>174.7</v>
      </c>
      <c r="E375">
        <v>219.4</v>
      </c>
      <c r="F375">
        <v>176.7</v>
      </c>
      <c r="G375">
        <v>179.4</v>
      </c>
      <c r="H375">
        <v>164.4</v>
      </c>
      <c r="I375">
        <v>175.8</v>
      </c>
      <c r="J375">
        <v>185</v>
      </c>
      <c r="K375">
        <v>176.9</v>
      </c>
      <c r="L375">
        <v>124.2</v>
      </c>
      <c r="M375">
        <v>211.9</v>
      </c>
      <c r="N375">
        <v>165.9</v>
      </c>
      <c r="O375">
        <v>197.7</v>
      </c>
      <c r="P375">
        <v>183.1</v>
      </c>
      <c r="Q375">
        <v>204.2</v>
      </c>
      <c r="R375">
        <v>181.3</v>
      </c>
      <c r="S375">
        <v>168.1</v>
      </c>
      <c r="T375">
        <v>179.3</v>
      </c>
      <c r="U375">
        <v>175.6</v>
      </c>
      <c r="V375">
        <v>183.4</v>
      </c>
      <c r="W375">
        <v>170.1</v>
      </c>
      <c r="X375">
        <v>182.2</v>
      </c>
      <c r="Y375">
        <v>160.4</v>
      </c>
      <c r="Z375">
        <v>169.2</v>
      </c>
      <c r="AA375">
        <v>174.8</v>
      </c>
      <c r="AB375">
        <v>185.6</v>
      </c>
      <c r="AC375">
        <v>171.6</v>
      </c>
      <c r="AD375">
        <v>178.2</v>
      </c>
    </row>
    <row r="376" spans="1:30" x14ac:dyDescent="0.3">
      <c r="A376" t="s">
        <v>34</v>
      </c>
      <c r="B376">
        <v>2023</v>
      </c>
      <c r="C376" t="s">
        <v>38</v>
      </c>
      <c r="D376">
        <v>173.7</v>
      </c>
      <c r="E376">
        <v>214.3</v>
      </c>
      <c r="F376">
        <v>173.2</v>
      </c>
      <c r="G376">
        <v>179.5</v>
      </c>
      <c r="H376">
        <v>170</v>
      </c>
      <c r="I376">
        <v>172.2</v>
      </c>
      <c r="J376">
        <v>161</v>
      </c>
      <c r="K376">
        <v>175.6</v>
      </c>
      <c r="L376">
        <v>122.7</v>
      </c>
      <c r="M376">
        <v>218</v>
      </c>
      <c r="N376">
        <v>173.4</v>
      </c>
      <c r="O376">
        <v>194.2</v>
      </c>
      <c r="P376">
        <v>179.1</v>
      </c>
      <c r="Q376">
        <v>201</v>
      </c>
      <c r="R376">
        <v>187.3</v>
      </c>
      <c r="S376">
        <v>179.7</v>
      </c>
      <c r="T376">
        <v>186.2</v>
      </c>
      <c r="U376">
        <v>175.6</v>
      </c>
      <c r="V376">
        <v>182.8</v>
      </c>
      <c r="W376">
        <v>175.2</v>
      </c>
      <c r="X376">
        <v>185.7</v>
      </c>
      <c r="Y376">
        <v>164.8</v>
      </c>
      <c r="Z376">
        <v>171.2</v>
      </c>
      <c r="AA376">
        <v>177.1</v>
      </c>
      <c r="AB376">
        <v>185.2</v>
      </c>
      <c r="AC376">
        <v>175.7</v>
      </c>
      <c r="AD376">
        <v>179.1</v>
      </c>
    </row>
  </sheetData>
  <autoFilter ref="A4:AD376" xr:uid="{5D0466D2-1442-4130-AD84-D4F172F38D20}">
    <filterColumn colId="1">
      <filters>
        <filter val="2021"/>
        <filter val="2022"/>
        <filter val="202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6AE6-A32F-4FB5-888B-1FCCFD9665E9}">
  <dimension ref="A1:I40"/>
  <sheetViews>
    <sheetView showGridLines="0" topLeftCell="A43" workbookViewId="0">
      <selection activeCell="C20" sqref="C20"/>
    </sheetView>
  </sheetViews>
  <sheetFormatPr defaultRowHeight="14.4" x14ac:dyDescent="0.3"/>
  <cols>
    <col min="1" max="1" width="12.44140625" customWidth="1"/>
    <col min="2" max="2" width="11.6640625" customWidth="1"/>
    <col min="3" max="3" width="66.77734375" bestFit="1" customWidth="1"/>
    <col min="4" max="4" width="18.5546875" bestFit="1" customWidth="1"/>
    <col min="5" max="5" width="18" bestFit="1" customWidth="1"/>
    <col min="6" max="6" width="9.44140625" style="17" bestFit="1" customWidth="1"/>
    <col min="7" max="7" width="7.109375" bestFit="1" customWidth="1"/>
    <col min="9" max="9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75</v>
      </c>
      <c r="E1" t="s">
        <v>49</v>
      </c>
      <c r="F1" s="17" t="s">
        <v>76</v>
      </c>
    </row>
    <row r="2" spans="1:6" x14ac:dyDescent="0.3">
      <c r="A2" t="s">
        <v>34</v>
      </c>
      <c r="B2">
        <v>2023</v>
      </c>
      <c r="C2" t="s">
        <v>38</v>
      </c>
      <c r="D2" t="s">
        <v>19</v>
      </c>
      <c r="E2">
        <v>186.2</v>
      </c>
      <c r="F2" s="17">
        <f>(Table3__4[[#This Row],[Value]]/$E$9)</f>
        <v>4.1688122691145191E-2</v>
      </c>
    </row>
    <row r="3" spans="1:6" x14ac:dyDescent="0.3">
      <c r="A3" t="s">
        <v>34</v>
      </c>
      <c r="B3">
        <v>2023</v>
      </c>
      <c r="C3" t="s">
        <v>38</v>
      </c>
      <c r="D3" t="s">
        <v>72</v>
      </c>
      <c r="E3">
        <v>1954.2</v>
      </c>
      <c r="F3" s="17">
        <f>(Table3__4[[#This Row],[Value]]/$E$9)</f>
        <v>0.43752378820105231</v>
      </c>
    </row>
    <row r="4" spans="1:6" x14ac:dyDescent="0.3">
      <c r="A4" t="s">
        <v>34</v>
      </c>
      <c r="B4">
        <v>2023</v>
      </c>
      <c r="C4" t="s">
        <v>38</v>
      </c>
      <c r="D4" t="s">
        <v>73</v>
      </c>
      <c r="E4">
        <v>352.7</v>
      </c>
      <c r="F4" s="17">
        <f>(Table3__4[[#This Row],[Value]]/$E$9)</f>
        <v>7.8965633046009176E-2</v>
      </c>
    </row>
    <row r="5" spans="1:6" x14ac:dyDescent="0.3">
      <c r="A5" t="s">
        <v>34</v>
      </c>
      <c r="B5">
        <v>2023</v>
      </c>
      <c r="C5" t="s">
        <v>38</v>
      </c>
      <c r="D5" t="s">
        <v>62</v>
      </c>
      <c r="E5">
        <v>370.9</v>
      </c>
      <c r="F5" s="17">
        <f>(Table3__4[[#This Row],[Value]]/$E$9)</f>
        <v>8.3040411955669982E-2</v>
      </c>
    </row>
    <row r="6" spans="1:6" x14ac:dyDescent="0.3">
      <c r="A6" t="s">
        <v>34</v>
      </c>
      <c r="B6">
        <v>2023</v>
      </c>
      <c r="C6" t="s">
        <v>38</v>
      </c>
      <c r="D6" t="s">
        <v>74</v>
      </c>
      <c r="E6">
        <v>347.6</v>
      </c>
      <c r="F6" s="17">
        <f>(Table3__4[[#This Row],[Value]]/$E$9)</f>
        <v>7.782379939549984E-2</v>
      </c>
    </row>
    <row r="7" spans="1:6" x14ac:dyDescent="0.3">
      <c r="A7" t="s">
        <v>34</v>
      </c>
      <c r="B7">
        <v>2023</v>
      </c>
      <c r="C7" t="s">
        <v>38</v>
      </c>
      <c r="D7" t="s">
        <v>56</v>
      </c>
      <c r="E7">
        <v>348.29999999999995</v>
      </c>
      <c r="F7" s="17">
        <f>(Table3__4[[#This Row],[Value]]/$E$9)</f>
        <v>7.7980521661256005E-2</v>
      </c>
    </row>
    <row r="8" spans="1:6" x14ac:dyDescent="0.3">
      <c r="A8" t="s">
        <v>34</v>
      </c>
      <c r="B8">
        <v>2023</v>
      </c>
      <c r="C8" t="s">
        <v>38</v>
      </c>
      <c r="D8" t="s">
        <v>57</v>
      </c>
      <c r="E8">
        <v>906.6</v>
      </c>
      <c r="F8" s="17">
        <f>(Table3__4[[#This Row],[Value]]/$E$9)</f>
        <v>0.20297772304936751</v>
      </c>
    </row>
    <row r="9" spans="1:6" x14ac:dyDescent="0.3">
      <c r="A9" t="s">
        <v>58</v>
      </c>
      <c r="E9">
        <v>4466.5</v>
      </c>
      <c r="F9" s="17">
        <f>SUM(F2:F8)</f>
        <v>1</v>
      </c>
    </row>
    <row r="11" spans="1:6" x14ac:dyDescent="0.3">
      <c r="C11" s="16"/>
      <c r="D11" s="16"/>
    </row>
    <row r="12" spans="1:6" x14ac:dyDescent="0.3">
      <c r="A12" t="s">
        <v>85</v>
      </c>
    </row>
    <row r="16" spans="1:6" x14ac:dyDescent="0.3">
      <c r="A16" s="1" t="s">
        <v>2</v>
      </c>
      <c r="B16" t="s">
        <v>38</v>
      </c>
      <c r="F16"/>
    </row>
    <row r="17" spans="1:9" x14ac:dyDescent="0.3">
      <c r="F17"/>
    </row>
    <row r="18" spans="1:9" x14ac:dyDescent="0.3">
      <c r="A18" s="1" t="s">
        <v>77</v>
      </c>
      <c r="B18" s="1" t="s">
        <v>52</v>
      </c>
      <c r="F18"/>
    </row>
    <row r="19" spans="1:9" x14ac:dyDescent="0.3">
      <c r="A19" s="1" t="s">
        <v>50</v>
      </c>
      <c r="B19" t="s">
        <v>19</v>
      </c>
      <c r="C19" t="s">
        <v>73</v>
      </c>
      <c r="D19" t="s">
        <v>56</v>
      </c>
      <c r="E19" t="s">
        <v>72</v>
      </c>
      <c r="F19" t="s">
        <v>62</v>
      </c>
      <c r="G19" t="s">
        <v>57</v>
      </c>
      <c r="H19" t="s">
        <v>74</v>
      </c>
      <c r="I19" t="s">
        <v>51</v>
      </c>
    </row>
    <row r="20" spans="1:9" x14ac:dyDescent="0.3">
      <c r="A20" s="2" t="s">
        <v>34</v>
      </c>
      <c r="B20" s="18">
        <v>4.1688122691145191E-2</v>
      </c>
      <c r="C20" s="18">
        <v>7.8965633046009176E-2</v>
      </c>
      <c r="D20" s="18">
        <v>7.7980521661256005E-2</v>
      </c>
      <c r="E20" s="18">
        <v>0.43752378820105231</v>
      </c>
      <c r="F20" s="18">
        <v>8.3040411955669982E-2</v>
      </c>
      <c r="G20" s="18">
        <v>0.20297772304936751</v>
      </c>
      <c r="H20" s="18">
        <v>7.782379939549984E-2</v>
      </c>
      <c r="I20" s="18">
        <v>0.14285714285714285</v>
      </c>
    </row>
    <row r="21" spans="1:9" x14ac:dyDescent="0.3">
      <c r="A21" s="2" t="s">
        <v>51</v>
      </c>
      <c r="B21" s="18">
        <v>4.1688122691145191E-2</v>
      </c>
      <c r="C21" s="18">
        <v>7.8965633046009176E-2</v>
      </c>
      <c r="D21" s="18">
        <v>7.7980521661256005E-2</v>
      </c>
      <c r="E21" s="18">
        <v>0.43752378820105231</v>
      </c>
      <c r="F21" s="18">
        <v>8.3040411955669982E-2</v>
      </c>
      <c r="G21" s="18">
        <v>0.20297772304936751</v>
      </c>
      <c r="H21" s="18">
        <v>7.782379939549984E-2</v>
      </c>
      <c r="I21" s="18">
        <v>0.14285714285714285</v>
      </c>
    </row>
    <row r="22" spans="1:9" x14ac:dyDescent="0.3">
      <c r="F22"/>
    </row>
    <row r="23" spans="1:9" x14ac:dyDescent="0.3">
      <c r="F23"/>
    </row>
    <row r="24" spans="1:9" x14ac:dyDescent="0.3">
      <c r="F24"/>
    </row>
    <row r="25" spans="1:9" x14ac:dyDescent="0.3">
      <c r="F25"/>
    </row>
    <row r="26" spans="1:9" x14ac:dyDescent="0.3">
      <c r="F26"/>
    </row>
    <row r="27" spans="1:9" x14ac:dyDescent="0.3">
      <c r="F27"/>
    </row>
    <row r="28" spans="1:9" x14ac:dyDescent="0.3">
      <c r="F28"/>
    </row>
    <row r="29" spans="1:9" x14ac:dyDescent="0.3">
      <c r="F29"/>
    </row>
    <row r="30" spans="1:9" x14ac:dyDescent="0.3">
      <c r="F30"/>
    </row>
    <row r="31" spans="1:9" x14ac:dyDescent="0.3">
      <c r="F31"/>
    </row>
    <row r="32" spans="1:9" x14ac:dyDescent="0.3">
      <c r="F32"/>
    </row>
    <row r="33" spans="6:6" x14ac:dyDescent="0.3">
      <c r="F33"/>
    </row>
    <row r="34" spans="6:6" x14ac:dyDescent="0.3">
      <c r="F34"/>
    </row>
    <row r="35" spans="6:6" x14ac:dyDescent="0.3">
      <c r="F35"/>
    </row>
    <row r="36" spans="6:6" x14ac:dyDescent="0.3">
      <c r="F36"/>
    </row>
    <row r="37" spans="6:6" x14ac:dyDescent="0.3">
      <c r="F37"/>
    </row>
    <row r="38" spans="6:6" x14ac:dyDescent="0.3">
      <c r="F38"/>
    </row>
    <row r="39" spans="6:6" x14ac:dyDescent="0.3">
      <c r="F39"/>
    </row>
    <row r="40" spans="6:6" x14ac:dyDescent="0.3">
      <c r="F40"/>
    </row>
  </sheetData>
  <conditionalFormatting pivot="1" sqref="B20:I20">
    <cfRule type="top10" dxfId="3" priority="1" percent="1" rank="10"/>
  </conditionalFormatting>
  <pageMargins left="0.7" right="0.7" top="0.75" bottom="0.75" header="0.3" footer="0.3"/>
  <ignoredErrors>
    <ignoredError sqref="F9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772E-21C1-4651-A09F-14B528806257}">
  <dimension ref="A1:L45"/>
  <sheetViews>
    <sheetView showGridLines="0" workbookViewId="0">
      <selection activeCell="R14" sqref="R14"/>
    </sheetView>
  </sheetViews>
  <sheetFormatPr defaultRowHeight="14.4" x14ac:dyDescent="0.3"/>
  <cols>
    <col min="1" max="1" width="14.77734375" customWidth="1"/>
    <col min="4" max="4" width="21" bestFit="1" customWidth="1"/>
    <col min="5" max="5" width="15.5546875" bestFit="1" customWidth="1"/>
    <col min="6" max="6" width="15.44140625" bestFit="1" customWidth="1"/>
    <col min="7" max="11" width="5" bestFit="1" customWidth="1"/>
    <col min="12" max="12" width="10.5546875" bestFit="1" customWidth="1"/>
    <col min="13" max="13" width="11.33203125" bestFit="1" customWidth="1"/>
    <col min="14" max="14" width="9.44140625" bestFit="1" customWidth="1"/>
    <col min="15" max="15" width="11.33203125" bestFit="1" customWidth="1"/>
    <col min="16" max="16" width="9.44140625" bestFit="1" customWidth="1"/>
    <col min="17" max="17" width="11.33203125" bestFit="1" customWidth="1"/>
    <col min="18" max="18" width="9.44140625" bestFit="1" customWidth="1"/>
    <col min="19" max="19" width="10.5546875" bestFit="1" customWidth="1"/>
    <col min="20" max="20" width="23.21875" bestFit="1" customWidth="1"/>
  </cols>
  <sheetData>
    <row r="1" spans="1:9" x14ac:dyDescent="0.3">
      <c r="A1" s="7" t="s">
        <v>0</v>
      </c>
      <c r="B1" s="3" t="s">
        <v>1</v>
      </c>
      <c r="C1" s="3" t="s">
        <v>2</v>
      </c>
      <c r="D1" s="3" t="s">
        <v>29</v>
      </c>
      <c r="E1" s="4" t="s">
        <v>59</v>
      </c>
      <c r="F1" s="13" t="s">
        <v>78</v>
      </c>
    </row>
    <row r="2" spans="1:9" x14ac:dyDescent="0.3">
      <c r="A2" t="s">
        <v>34</v>
      </c>
      <c r="B2">
        <v>2016</v>
      </c>
      <c r="C2" t="s">
        <v>37</v>
      </c>
      <c r="D2">
        <v>127.3</v>
      </c>
      <c r="H2" s="25"/>
    </row>
    <row r="3" spans="1:9" x14ac:dyDescent="0.3">
      <c r="A3" t="s">
        <v>34</v>
      </c>
      <c r="B3">
        <v>2017</v>
      </c>
      <c r="C3" t="s">
        <v>36</v>
      </c>
      <c r="D3">
        <v>130.9</v>
      </c>
      <c r="E3" s="12">
        <f>(D3-D2)/D2*100</f>
        <v>2.8279654359780113</v>
      </c>
      <c r="F3">
        <v>2017</v>
      </c>
      <c r="H3" s="25"/>
    </row>
    <row r="4" spans="1:9" x14ac:dyDescent="0.3">
      <c r="A4" t="s">
        <v>34</v>
      </c>
      <c r="B4">
        <v>2017</v>
      </c>
      <c r="C4" t="s">
        <v>37</v>
      </c>
      <c r="D4">
        <v>131.1</v>
      </c>
      <c r="H4" s="25"/>
    </row>
    <row r="5" spans="1:9" x14ac:dyDescent="0.3">
      <c r="A5" t="s">
        <v>34</v>
      </c>
      <c r="B5">
        <v>2018</v>
      </c>
      <c r="C5" t="s">
        <v>36</v>
      </c>
      <c r="D5">
        <v>136.5</v>
      </c>
      <c r="E5" s="12">
        <f>(D5-D4)/D4*100</f>
        <v>4.1189931350114461</v>
      </c>
      <c r="F5">
        <v>2018</v>
      </c>
    </row>
    <row r="6" spans="1:9" x14ac:dyDescent="0.3">
      <c r="A6" t="s">
        <v>34</v>
      </c>
      <c r="B6">
        <v>2018</v>
      </c>
      <c r="C6" t="s">
        <v>37</v>
      </c>
      <c r="D6">
        <v>137.1</v>
      </c>
      <c r="E6" s="12"/>
      <c r="I6" t="s">
        <v>89</v>
      </c>
    </row>
    <row r="7" spans="1:9" x14ac:dyDescent="0.3">
      <c r="A7" t="s">
        <v>34</v>
      </c>
      <c r="B7">
        <v>2019</v>
      </c>
      <c r="C7" t="s">
        <v>36</v>
      </c>
      <c r="D7">
        <v>140.4</v>
      </c>
      <c r="E7" s="12">
        <f t="shared" ref="E7:E15" si="0">(D7-D6)/D6*100</f>
        <v>2.4070021881838159</v>
      </c>
      <c r="F7">
        <v>2019</v>
      </c>
    </row>
    <row r="8" spans="1:9" x14ac:dyDescent="0.3">
      <c r="A8" t="s">
        <v>34</v>
      </c>
      <c r="B8">
        <v>2019</v>
      </c>
      <c r="C8" t="s">
        <v>37</v>
      </c>
      <c r="D8">
        <v>144.1</v>
      </c>
      <c r="E8" s="12"/>
    </row>
    <row r="9" spans="1:9" x14ac:dyDescent="0.3">
      <c r="A9" t="s">
        <v>34</v>
      </c>
      <c r="B9">
        <v>2020</v>
      </c>
      <c r="C9" t="s">
        <v>36</v>
      </c>
      <c r="D9">
        <v>148.6</v>
      </c>
      <c r="E9" s="12">
        <f t="shared" si="0"/>
        <v>3.1228313671061763</v>
      </c>
      <c r="F9">
        <v>2020</v>
      </c>
    </row>
    <row r="10" spans="1:9" x14ac:dyDescent="0.3">
      <c r="A10" t="s">
        <v>34</v>
      </c>
      <c r="B10">
        <v>2020</v>
      </c>
      <c r="C10" t="s">
        <v>37</v>
      </c>
      <c r="D10">
        <v>148.4</v>
      </c>
      <c r="E10" s="12"/>
    </row>
    <row r="11" spans="1:9" x14ac:dyDescent="0.3">
      <c r="A11" t="s">
        <v>34</v>
      </c>
      <c r="B11">
        <v>2021</v>
      </c>
      <c r="C11" t="s">
        <v>36</v>
      </c>
      <c r="D11">
        <v>156.80000000000001</v>
      </c>
      <c r="E11" s="12">
        <f t="shared" si="0"/>
        <v>5.6603773584905692</v>
      </c>
      <c r="F11">
        <v>2021</v>
      </c>
    </row>
    <row r="12" spans="1:9" x14ac:dyDescent="0.3">
      <c r="A12" t="s">
        <v>34</v>
      </c>
      <c r="B12">
        <v>2021</v>
      </c>
      <c r="C12" t="s">
        <v>37</v>
      </c>
      <c r="D12">
        <v>157.80000000000001</v>
      </c>
      <c r="E12" s="12"/>
    </row>
    <row r="13" spans="1:9" x14ac:dyDescent="0.3">
      <c r="A13" t="s">
        <v>34</v>
      </c>
      <c r="B13">
        <v>2022</v>
      </c>
      <c r="C13" t="s">
        <v>36</v>
      </c>
      <c r="D13">
        <v>167.7</v>
      </c>
      <c r="E13" s="12">
        <f t="shared" si="0"/>
        <v>6.2737642585551185</v>
      </c>
      <c r="F13">
        <v>2022</v>
      </c>
    </row>
    <row r="14" spans="1:9" x14ac:dyDescent="0.3">
      <c r="A14" t="s">
        <v>34</v>
      </c>
      <c r="B14">
        <v>2022</v>
      </c>
      <c r="C14" t="s">
        <v>37</v>
      </c>
      <c r="D14">
        <v>170.1</v>
      </c>
      <c r="E14" s="12"/>
    </row>
    <row r="15" spans="1:9" x14ac:dyDescent="0.3">
      <c r="A15" t="s">
        <v>34</v>
      </c>
      <c r="B15">
        <v>2023</v>
      </c>
      <c r="C15" t="s">
        <v>36</v>
      </c>
      <c r="D15">
        <v>177.2</v>
      </c>
      <c r="E15" s="12">
        <f t="shared" si="0"/>
        <v>4.1740152851263934</v>
      </c>
      <c r="F15">
        <v>2023</v>
      </c>
    </row>
    <row r="19" spans="4:12" x14ac:dyDescent="0.3">
      <c r="D19" s="1" t="s">
        <v>60</v>
      </c>
      <c r="E19" s="1" t="s">
        <v>52</v>
      </c>
    </row>
    <row r="20" spans="4:12" x14ac:dyDescent="0.3">
      <c r="D20" s="1" t="s">
        <v>50</v>
      </c>
      <c r="E20">
        <v>2017</v>
      </c>
      <c r="F20">
        <v>2018</v>
      </c>
      <c r="G20">
        <v>2019</v>
      </c>
      <c r="H20">
        <v>2020</v>
      </c>
      <c r="I20">
        <v>2021</v>
      </c>
      <c r="J20">
        <v>2022</v>
      </c>
      <c r="K20">
        <v>2023</v>
      </c>
      <c r="L20" t="s">
        <v>51</v>
      </c>
    </row>
    <row r="21" spans="4:12" x14ac:dyDescent="0.3">
      <c r="D21" s="2" t="s">
        <v>34</v>
      </c>
      <c r="E21" s="12">
        <v>2.8279654359780113</v>
      </c>
      <c r="F21" s="12">
        <v>4.1189931350114461</v>
      </c>
      <c r="G21" s="12">
        <v>2.4070021881838159</v>
      </c>
      <c r="H21" s="12">
        <v>3.1228313671061763</v>
      </c>
      <c r="I21" s="12">
        <v>5.6603773584905692</v>
      </c>
      <c r="J21" s="12">
        <v>6.2737642585551185</v>
      </c>
      <c r="K21" s="12">
        <v>4.1740152851263934</v>
      </c>
      <c r="L21" s="12">
        <v>4.0835641469216473</v>
      </c>
    </row>
    <row r="22" spans="4:12" x14ac:dyDescent="0.3">
      <c r="D22" s="2" t="s">
        <v>51</v>
      </c>
      <c r="E22" s="12">
        <v>2.8279654359780113</v>
      </c>
      <c r="F22" s="12">
        <v>4.1189931350114461</v>
      </c>
      <c r="G22" s="12">
        <v>2.4070021881838159</v>
      </c>
      <c r="H22" s="12">
        <v>3.1228313671061763</v>
      </c>
      <c r="I22" s="12">
        <v>5.6603773584905692</v>
      </c>
      <c r="J22" s="12">
        <v>6.2737642585551185</v>
      </c>
      <c r="K22" s="12">
        <v>4.1740152851263934</v>
      </c>
      <c r="L22" s="12">
        <v>4.0835641469216473</v>
      </c>
    </row>
    <row r="43" spans="1:12" ht="15.6" x14ac:dyDescent="0.3">
      <c r="A43" s="25"/>
      <c r="B43" s="23" t="s">
        <v>86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 ht="15.6" x14ac:dyDescent="0.3">
      <c r="A44" s="25"/>
      <c r="B44" s="23" t="s">
        <v>87</v>
      </c>
      <c r="C44" s="23"/>
      <c r="D44" s="23"/>
    </row>
    <row r="45" spans="1:12" ht="15.6" x14ac:dyDescent="0.3">
      <c r="A45" s="25"/>
      <c r="B45" s="23" t="s">
        <v>88</v>
      </c>
      <c r="C45" s="23"/>
      <c r="D45" s="23"/>
    </row>
  </sheetData>
  <mergeCells count="2">
    <mergeCell ref="H2:H4"/>
    <mergeCell ref="A43:A45"/>
  </mergeCells>
  <conditionalFormatting pivot="1" sqref="E21:K21">
    <cfRule type="top10" dxfId="2" priority="1" percent="1" rank="10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AE98-DAA5-45B0-B88F-7649996E60E2}">
  <dimension ref="A1:AN380"/>
  <sheetViews>
    <sheetView showGridLines="0" workbookViewId="0">
      <selection activeCell="AM361" sqref="AM361"/>
    </sheetView>
  </sheetViews>
  <sheetFormatPr defaultRowHeight="14.4" x14ac:dyDescent="0.3"/>
  <cols>
    <col min="3" max="3" width="9.77734375" bestFit="1" customWidth="1"/>
    <col min="4" max="4" width="18.77734375" hidden="1" customWidth="1"/>
    <col min="5" max="5" width="11.88671875" hidden="1" customWidth="1"/>
    <col min="6" max="6" width="6" hidden="1" customWidth="1"/>
    <col min="7" max="7" width="15.88671875" hidden="1" customWidth="1"/>
    <col min="8" max="8" width="11.21875" hidden="1" customWidth="1"/>
    <col min="9" max="9" width="6" hidden="1" customWidth="1"/>
    <col min="10" max="10" width="10.21875" hidden="1" customWidth="1"/>
    <col min="11" max="11" width="17.88671875" hidden="1" customWidth="1"/>
    <col min="12" max="12" width="21.33203125" hidden="1" customWidth="1"/>
    <col min="13" max="13" width="6.6640625" hidden="1" customWidth="1"/>
    <col min="14" max="14" width="21.77734375" hidden="1" customWidth="1"/>
    <col min="15" max="15" width="31.5546875" hidden="1" customWidth="1"/>
    <col min="16" max="16" width="17.5546875" hidden="1" customWidth="1"/>
    <col min="17" max="17" width="25.109375" hidden="1" customWidth="1"/>
    <col min="18" max="18" width="7.88671875" hidden="1" customWidth="1"/>
    <col min="19" max="19" width="8.6640625" hidden="1" customWidth="1"/>
    <col min="20" max="20" width="19.109375" hidden="1" customWidth="1"/>
    <col min="21" max="21" width="7.6640625" hidden="1" customWidth="1"/>
    <col min="22" max="22" width="12" hidden="1" customWidth="1"/>
    <col min="23" max="23" width="26.21875" hidden="1" customWidth="1"/>
    <col min="24" max="24" width="6.5546875" hidden="1" customWidth="1"/>
    <col min="25" max="25" width="26.21875" hidden="1" customWidth="1"/>
    <col min="26" max="26" width="24" hidden="1" customWidth="1"/>
    <col min="27" max="27" width="9.33203125" hidden="1" customWidth="1"/>
    <col min="28" max="28" width="22" hidden="1" customWidth="1"/>
    <col min="29" max="29" width="12.88671875" hidden="1" customWidth="1"/>
    <col min="30" max="30" width="12.44140625" hidden="1" customWidth="1"/>
    <col min="31" max="31" width="20.88671875" hidden="1" customWidth="1"/>
    <col min="32" max="32" width="0" hidden="1" customWidth="1"/>
    <col min="33" max="33" width="9.77734375" hidden="1" customWidth="1"/>
    <col min="34" max="34" width="11.88671875" hidden="1" customWidth="1"/>
    <col min="35" max="35" width="9.109375" hidden="1" customWidth="1"/>
    <col min="36" max="36" width="15" bestFit="1" customWidth="1"/>
    <col min="37" max="37" width="24.33203125" bestFit="1" customWidth="1"/>
    <col min="38" max="38" width="31.109375" bestFit="1" customWidth="1"/>
    <col min="39" max="39" width="15.5546875" bestFit="1" customWidth="1"/>
    <col min="40" max="40" width="10.5546875" bestFit="1" customWidth="1"/>
    <col min="41" max="43" width="6.109375" bestFit="1" customWidth="1"/>
    <col min="44" max="44" width="10.5546875" bestFit="1" customWidth="1"/>
    <col min="45" max="45" width="21.88671875" bestFit="1" customWidth="1"/>
    <col min="46" max="46" width="28.21875" bestFit="1" customWidth="1"/>
    <col min="47" max="47" width="21.88671875" bestFit="1" customWidth="1"/>
    <col min="48" max="48" width="28.21875" bestFit="1" customWidth="1"/>
    <col min="49" max="49" width="26.44140625" bestFit="1" customWidth="1"/>
    <col min="50" max="50" width="32.77734375" bestFit="1" customWidth="1"/>
    <col min="51" max="51" width="6.77734375" bestFit="1" customWidth="1"/>
    <col min="52" max="52" width="10.5546875" bestFit="1" customWidth="1"/>
    <col min="53" max="60" width="6" bestFit="1" customWidth="1"/>
    <col min="61" max="61" width="9.44140625" bestFit="1" customWidth="1"/>
    <col min="62" max="62" width="6.6640625" bestFit="1" customWidth="1"/>
    <col min="63" max="66" width="6" bestFit="1" customWidth="1"/>
    <col min="67" max="67" width="4" bestFit="1" customWidth="1"/>
    <col min="68" max="72" width="6" bestFit="1" customWidth="1"/>
    <col min="73" max="73" width="9.44140625" bestFit="1" customWidth="1"/>
    <col min="74" max="74" width="6.6640625" bestFit="1" customWidth="1"/>
    <col min="75" max="83" width="6" bestFit="1" customWidth="1"/>
    <col min="84" max="84" width="9.44140625" bestFit="1" customWidth="1"/>
    <col min="85" max="85" width="6.6640625" bestFit="1" customWidth="1"/>
    <col min="86" max="89" width="6" bestFit="1" customWidth="1"/>
    <col min="90" max="90" width="4" bestFit="1" customWidth="1"/>
    <col min="91" max="96" width="6" bestFit="1" customWidth="1"/>
    <col min="97" max="97" width="9.44140625" bestFit="1" customWidth="1"/>
    <col min="98" max="98" width="6.6640625" bestFit="1" customWidth="1"/>
    <col min="99" max="108" width="6" bestFit="1" customWidth="1"/>
    <col min="109" max="109" width="9.44140625" bestFit="1" customWidth="1"/>
    <col min="110" max="110" width="6.6640625" bestFit="1" customWidth="1"/>
    <col min="111" max="112" width="6" bestFit="1" customWidth="1"/>
    <col min="113" max="113" width="4" bestFit="1" customWidth="1"/>
    <col min="114" max="115" width="6" bestFit="1" customWidth="1"/>
    <col min="116" max="116" width="4" bestFit="1" customWidth="1"/>
    <col min="117" max="121" width="6" bestFit="1" customWidth="1"/>
    <col min="122" max="122" width="9.44140625" bestFit="1" customWidth="1"/>
    <col min="123" max="123" width="6.6640625" bestFit="1" customWidth="1"/>
    <col min="124" max="132" width="6" bestFit="1" customWidth="1"/>
    <col min="133" max="133" width="3.44140625" bestFit="1" customWidth="1"/>
    <col min="134" max="134" width="9.44140625" bestFit="1" customWidth="1"/>
    <col min="135" max="135" width="6.6640625" bestFit="1" customWidth="1"/>
    <col min="136" max="145" width="6" bestFit="1" customWidth="1"/>
    <col min="146" max="146" width="9.44140625" bestFit="1" customWidth="1"/>
    <col min="147" max="147" width="6.6640625" bestFit="1" customWidth="1"/>
    <col min="148" max="158" width="6" bestFit="1" customWidth="1"/>
    <col min="159" max="159" width="9.44140625" bestFit="1" customWidth="1"/>
    <col min="160" max="160" width="6.6640625" bestFit="1" customWidth="1"/>
    <col min="161" max="162" width="6" bestFit="1" customWidth="1"/>
    <col min="163" max="163" width="9.44140625" bestFit="1" customWidth="1"/>
    <col min="164" max="164" width="10.5546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61</v>
      </c>
      <c r="AK1" t="s">
        <v>81</v>
      </c>
    </row>
    <row r="2" spans="1:37" hidden="1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>
        <f t="shared" ref="AE2:AE65" si="0">SUM(D2,E2,H2,I2,J2,K2,L2,M2,N2,O2,P2)</f>
        <v>1158.6999999999998</v>
      </c>
      <c r="AF2">
        <f t="shared" ref="AF2:AF65" si="1">SUM(F2,G2)</f>
        <v>213</v>
      </c>
      <c r="AG2">
        <f t="shared" ref="AG2:AG65" si="2">SUM(X2,AB2)</f>
        <v>208.7</v>
      </c>
      <c r="AH2">
        <f t="shared" ref="AH2:AH65" si="3">SUM(Z2,Y2)</f>
        <v>206.7</v>
      </c>
      <c r="AI2">
        <f t="shared" ref="AI2:AI65" si="4">SUM(Q2,U2,V2,W2,Y2,AC2,AD2)</f>
        <v>627.80000000000007</v>
      </c>
      <c r="AJ2">
        <f>SUM(D3,E3,F3,H3,I3,J3,K3,L3,M3,O3,P3)</f>
        <v>1167.7</v>
      </c>
      <c r="AK2" s="18">
        <f>(Table1[[#This Row],[Food Category]]/$AJ$375)</f>
        <v>7.6065219232247447E-2</v>
      </c>
    </row>
    <row r="3" spans="1:37" hidden="1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>
        <f t="shared" si="0"/>
        <v>1159.8000000000002</v>
      </c>
      <c r="AF3">
        <f t="shared" si="1"/>
        <v>216.6</v>
      </c>
      <c r="AG3">
        <f t="shared" si="2"/>
        <v>208.39999999999998</v>
      </c>
      <c r="AH3">
        <f t="shared" si="3"/>
        <v>206.10000000000002</v>
      </c>
      <c r="AI3">
        <f t="shared" si="4"/>
        <v>726.6</v>
      </c>
      <c r="AK3" s="18">
        <f>(Table1[[#This Row],[Food Category]]/$AJ$375)</f>
        <v>0</v>
      </c>
    </row>
    <row r="4" spans="1:37" hidden="1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>
        <f t="shared" si="0"/>
        <v>1158.8999999999999</v>
      </c>
      <c r="AF4">
        <f t="shared" si="1"/>
        <v>214.4</v>
      </c>
      <c r="AG4">
        <f t="shared" si="2"/>
        <v>208.5</v>
      </c>
      <c r="AH4">
        <f t="shared" si="3"/>
        <v>206.3</v>
      </c>
      <c r="AI4">
        <f t="shared" si="4"/>
        <v>727.4</v>
      </c>
      <c r="AK4" s="18">
        <f>(Table1[[#This Row],[Food Category]]/$AJ$375)</f>
        <v>0</v>
      </c>
    </row>
    <row r="5" spans="1:37" hidden="1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>
        <f t="shared" si="0"/>
        <v>1164.8</v>
      </c>
      <c r="AF5">
        <f t="shared" si="1"/>
        <v>215.60000000000002</v>
      </c>
      <c r="AG5">
        <f t="shared" si="2"/>
        <v>209</v>
      </c>
      <c r="AH5">
        <f t="shared" si="3"/>
        <v>207.9</v>
      </c>
      <c r="AI5">
        <f t="shared" si="4"/>
        <v>631.09999999999991</v>
      </c>
      <c r="AK5" s="18">
        <f>(Table1[[#This Row],[Food Category]]/$AJ$375)</f>
        <v>0</v>
      </c>
    </row>
    <row r="6" spans="1:37" hidden="1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>
        <f t="shared" si="0"/>
        <v>1169.7</v>
      </c>
      <c r="AF6">
        <f t="shared" si="1"/>
        <v>220.9</v>
      </c>
      <c r="AG6">
        <f t="shared" si="2"/>
        <v>209</v>
      </c>
      <c r="AH6">
        <f t="shared" si="3"/>
        <v>207.7</v>
      </c>
      <c r="AI6">
        <f t="shared" si="4"/>
        <v>730.7</v>
      </c>
      <c r="AK6" s="18">
        <f>(Table1[[#This Row],[Food Category]]/$AJ$375)</f>
        <v>0</v>
      </c>
    </row>
    <row r="7" spans="1:37" hidden="1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>
        <f t="shared" si="0"/>
        <v>1166.5</v>
      </c>
      <c r="AF7">
        <f t="shared" si="1"/>
        <v>217.7</v>
      </c>
      <c r="AG7">
        <f t="shared" si="2"/>
        <v>209</v>
      </c>
      <c r="AH7">
        <f t="shared" si="3"/>
        <v>207.8</v>
      </c>
      <c r="AI7">
        <f t="shared" si="4"/>
        <v>731.19999999999993</v>
      </c>
      <c r="AK7" s="18">
        <f>(Table1[[#This Row],[Food Category]]/$AJ$375)</f>
        <v>0</v>
      </c>
    </row>
    <row r="8" spans="1:37" hidden="1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>
        <f t="shared" si="0"/>
        <v>1166.6999999999998</v>
      </c>
      <c r="AF8">
        <f t="shared" si="1"/>
        <v>215.5</v>
      </c>
      <c r="AG8">
        <f t="shared" si="2"/>
        <v>209</v>
      </c>
      <c r="AH8">
        <f t="shared" si="3"/>
        <v>208.6</v>
      </c>
      <c r="AI8">
        <f t="shared" si="4"/>
        <v>633.4</v>
      </c>
      <c r="AK8" s="18">
        <f>(Table1[[#This Row],[Food Category]]/$AJ$375)</f>
        <v>0</v>
      </c>
    </row>
    <row r="9" spans="1:37" hidden="1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>
        <f t="shared" si="0"/>
        <v>1169.3</v>
      </c>
      <c r="AF9">
        <f t="shared" si="1"/>
        <v>217.5</v>
      </c>
      <c r="AG9">
        <f t="shared" si="2"/>
        <v>209.4</v>
      </c>
      <c r="AH9">
        <f t="shared" si="3"/>
        <v>209</v>
      </c>
      <c r="AI9">
        <f t="shared" si="4"/>
        <v>734.3</v>
      </c>
      <c r="AK9" s="18">
        <f>(Table1[[#This Row],[Food Category]]/$AJ$375)</f>
        <v>0</v>
      </c>
    </row>
    <row r="10" spans="1:37" hidden="1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>
        <f t="shared" si="0"/>
        <v>1167.7000000000003</v>
      </c>
      <c r="AF10">
        <f t="shared" si="1"/>
        <v>216.3</v>
      </c>
      <c r="AG10">
        <f t="shared" si="2"/>
        <v>209.2</v>
      </c>
      <c r="AH10">
        <f t="shared" si="3"/>
        <v>208.8</v>
      </c>
      <c r="AI10">
        <f t="shared" si="4"/>
        <v>734.00000000000011</v>
      </c>
      <c r="AK10" s="18">
        <f>(Table1[[#This Row],[Food Category]]/$AJ$375)</f>
        <v>0</v>
      </c>
    </row>
    <row r="11" spans="1:37" hidden="1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>
        <f t="shared" si="0"/>
        <v>1172.6000000000001</v>
      </c>
      <c r="AF11">
        <f t="shared" si="1"/>
        <v>213.2</v>
      </c>
      <c r="AG11">
        <f t="shared" si="2"/>
        <v>207.8</v>
      </c>
      <c r="AH11">
        <f t="shared" si="3"/>
        <v>208.9</v>
      </c>
      <c r="AI11">
        <f t="shared" si="4"/>
        <v>635.1</v>
      </c>
      <c r="AK11" s="18">
        <f>(Table1[[#This Row],[Food Category]]/$AJ$375)</f>
        <v>0</v>
      </c>
    </row>
    <row r="12" spans="1:37" hidden="1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>
        <f t="shared" si="0"/>
        <v>1187</v>
      </c>
      <c r="AF12">
        <f t="shared" si="1"/>
        <v>210.7</v>
      </c>
      <c r="AG12">
        <f t="shared" si="2"/>
        <v>208.9</v>
      </c>
      <c r="AH12">
        <f t="shared" si="3"/>
        <v>209</v>
      </c>
      <c r="AI12">
        <f t="shared" si="4"/>
        <v>737.7</v>
      </c>
      <c r="AK12" s="18">
        <f>(Table1[[#This Row],[Food Category]]/$AJ$375)</f>
        <v>0</v>
      </c>
    </row>
    <row r="13" spans="1:37" hidden="1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>
        <f t="shared" si="0"/>
        <v>1177.8999999999999</v>
      </c>
      <c r="AF13">
        <f t="shared" si="1"/>
        <v>212.3</v>
      </c>
      <c r="AG13">
        <f t="shared" si="2"/>
        <v>208.2</v>
      </c>
      <c r="AH13">
        <f t="shared" si="3"/>
        <v>208.9</v>
      </c>
      <c r="AI13">
        <f t="shared" si="4"/>
        <v>736.4</v>
      </c>
      <c r="AK13" s="18">
        <f>(Table1[[#This Row],[Food Category]]/$AJ$375)</f>
        <v>0</v>
      </c>
    </row>
    <row r="14" spans="1:37" hidden="1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>
        <f t="shared" si="0"/>
        <v>1180.5999999999999</v>
      </c>
      <c r="AF14">
        <f t="shared" si="1"/>
        <v>213.4</v>
      </c>
      <c r="AG14">
        <f t="shared" si="2"/>
        <v>207.8</v>
      </c>
      <c r="AH14">
        <f t="shared" si="3"/>
        <v>209.1</v>
      </c>
      <c r="AI14">
        <f t="shared" si="4"/>
        <v>638.5</v>
      </c>
      <c r="AK14" s="18">
        <f>(Table1[[#This Row],[Food Category]]/$AJ$375)</f>
        <v>0</v>
      </c>
    </row>
    <row r="15" spans="1:37" hidden="1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>
        <f t="shared" si="0"/>
        <v>1209</v>
      </c>
      <c r="AF15">
        <f t="shared" si="1"/>
        <v>208.2</v>
      </c>
      <c r="AG15">
        <f t="shared" si="2"/>
        <v>208.8</v>
      </c>
      <c r="AH15">
        <f t="shared" si="3"/>
        <v>208.5</v>
      </c>
      <c r="AI15">
        <f t="shared" si="4"/>
        <v>740</v>
      </c>
      <c r="AK15" s="18">
        <f>(Table1[[#This Row],[Food Category]]/$AJ$375)</f>
        <v>0</v>
      </c>
    </row>
    <row r="16" spans="1:37" hidden="1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>
        <f t="shared" si="0"/>
        <v>1190.7</v>
      </c>
      <c r="AF16">
        <f t="shared" si="1"/>
        <v>211.5</v>
      </c>
      <c r="AG16">
        <f t="shared" si="2"/>
        <v>208.2</v>
      </c>
      <c r="AH16">
        <f t="shared" si="3"/>
        <v>208.8</v>
      </c>
      <c r="AI16">
        <f t="shared" si="4"/>
        <v>739.09999999999991</v>
      </c>
      <c r="AK16" s="18">
        <f>(Table1[[#This Row],[Food Category]]/$AJ$375)</f>
        <v>0</v>
      </c>
    </row>
    <row r="17" spans="1:37" hidden="1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>
        <f t="shared" si="0"/>
        <v>1203.5999999999999</v>
      </c>
      <c r="AF17">
        <f t="shared" si="1"/>
        <v>216.39999999999998</v>
      </c>
      <c r="AG17">
        <f t="shared" si="2"/>
        <v>208.8</v>
      </c>
      <c r="AH17">
        <f t="shared" si="3"/>
        <v>210.6</v>
      </c>
      <c r="AI17">
        <f t="shared" si="4"/>
        <v>644.4</v>
      </c>
      <c r="AK17" s="18">
        <f>(Table1[[#This Row],[Food Category]]/$AJ$375)</f>
        <v>0</v>
      </c>
    </row>
    <row r="18" spans="1:37" hidden="1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>
        <f t="shared" si="0"/>
        <v>1244.8</v>
      </c>
      <c r="AF18">
        <f t="shared" si="1"/>
        <v>219.8</v>
      </c>
      <c r="AG18">
        <f t="shared" si="2"/>
        <v>209.8</v>
      </c>
      <c r="AH18">
        <f t="shared" si="3"/>
        <v>210.4</v>
      </c>
      <c r="AI18">
        <f t="shared" si="4"/>
        <v>754.2</v>
      </c>
      <c r="AK18" s="18">
        <f>(Table1[[#This Row],[Food Category]]/$AJ$375)</f>
        <v>0</v>
      </c>
    </row>
    <row r="19" spans="1:37" hidden="1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>
        <f t="shared" si="0"/>
        <v>1218.3</v>
      </c>
      <c r="AF19">
        <f t="shared" si="1"/>
        <v>217.7</v>
      </c>
      <c r="AG19">
        <f t="shared" si="2"/>
        <v>209.2</v>
      </c>
      <c r="AH19">
        <f t="shared" si="3"/>
        <v>210.5</v>
      </c>
      <c r="AI19">
        <f t="shared" si="4"/>
        <v>752.19999999999993</v>
      </c>
      <c r="AK19" s="18">
        <f>(Table1[[#This Row],[Food Category]]/$AJ$375)</f>
        <v>0</v>
      </c>
    </row>
    <row r="20" spans="1:37" hidden="1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>
        <f t="shared" si="0"/>
        <v>1226.0999999999999</v>
      </c>
      <c r="AF20">
        <f t="shared" si="1"/>
        <v>219.8</v>
      </c>
      <c r="AG20">
        <f t="shared" si="2"/>
        <v>209.4</v>
      </c>
      <c r="AH20">
        <f t="shared" si="3"/>
        <v>213.2</v>
      </c>
      <c r="AI20">
        <f t="shared" si="4"/>
        <v>651.60000000000014</v>
      </c>
      <c r="AK20" s="18">
        <f>(Table1[[#This Row],[Food Category]]/$AJ$375)</f>
        <v>0</v>
      </c>
    </row>
    <row r="21" spans="1:37" hidden="1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>
        <f t="shared" si="0"/>
        <v>1267.0999999999999</v>
      </c>
      <c r="AF21">
        <f t="shared" si="1"/>
        <v>222.3</v>
      </c>
      <c r="AG21">
        <f t="shared" si="2"/>
        <v>210.3</v>
      </c>
      <c r="AH21">
        <f t="shared" si="3"/>
        <v>213.2</v>
      </c>
      <c r="AI21">
        <f t="shared" si="4"/>
        <v>762.09999999999991</v>
      </c>
      <c r="AK21" s="18">
        <f>(Table1[[#This Row],[Food Category]]/$AJ$375)</f>
        <v>0</v>
      </c>
    </row>
    <row r="22" spans="1:37" hidden="1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>
        <f t="shared" si="0"/>
        <v>1240.5999999999999</v>
      </c>
      <c r="AF22">
        <f t="shared" si="1"/>
        <v>220.8</v>
      </c>
      <c r="AG22">
        <f t="shared" si="2"/>
        <v>209.8</v>
      </c>
      <c r="AH22">
        <f t="shared" si="3"/>
        <v>213.2</v>
      </c>
      <c r="AI22">
        <f t="shared" si="4"/>
        <v>760.4</v>
      </c>
      <c r="AK22" s="18">
        <f>(Table1[[#This Row],[Food Category]]/$AJ$375)</f>
        <v>0</v>
      </c>
    </row>
    <row r="23" spans="1:37" hidden="1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>
        <f t="shared" si="0"/>
        <v>1241.4000000000001</v>
      </c>
      <c r="AF23">
        <f t="shared" si="1"/>
        <v>221.1</v>
      </c>
      <c r="AG23">
        <f t="shared" si="2"/>
        <v>212.5</v>
      </c>
      <c r="AH23">
        <f t="shared" si="3"/>
        <v>214.6</v>
      </c>
      <c r="AI23">
        <f t="shared" si="4"/>
        <v>656.7</v>
      </c>
      <c r="AK23" s="18">
        <f>(Table1[[#This Row],[Food Category]]/$AJ$375)</f>
        <v>0</v>
      </c>
    </row>
    <row r="24" spans="1:37" hidden="1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>
        <f t="shared" si="0"/>
        <v>1284.5</v>
      </c>
      <c r="AF24">
        <f t="shared" si="1"/>
        <v>221.60000000000002</v>
      </c>
      <c r="AG24">
        <f t="shared" si="2"/>
        <v>213.6</v>
      </c>
      <c r="AH24">
        <f t="shared" si="3"/>
        <v>214.6</v>
      </c>
      <c r="AI24">
        <f t="shared" si="4"/>
        <v>768.4</v>
      </c>
      <c r="AK24" s="18">
        <f>(Table1[[#This Row],[Food Category]]/$AJ$375)</f>
        <v>0</v>
      </c>
    </row>
    <row r="25" spans="1:37" hidden="1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>
        <f t="shared" si="0"/>
        <v>1256.1000000000001</v>
      </c>
      <c r="AF25">
        <f t="shared" si="1"/>
        <v>221.3</v>
      </c>
      <c r="AG25">
        <f t="shared" si="2"/>
        <v>212.9</v>
      </c>
      <c r="AH25">
        <f t="shared" si="3"/>
        <v>214.6</v>
      </c>
      <c r="AI25">
        <f t="shared" si="4"/>
        <v>766.8</v>
      </c>
      <c r="AK25" s="18">
        <f>(Table1[[#This Row],[Food Category]]/$AJ$375)</f>
        <v>0</v>
      </c>
    </row>
    <row r="26" spans="1:37" hidden="1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>
        <f t="shared" si="0"/>
        <v>1265.8</v>
      </c>
      <c r="AF26">
        <f t="shared" si="1"/>
        <v>222.7</v>
      </c>
      <c r="AG26">
        <f t="shared" si="2"/>
        <v>215</v>
      </c>
      <c r="AH26">
        <f t="shared" si="3"/>
        <v>217</v>
      </c>
      <c r="AI26">
        <f t="shared" si="4"/>
        <v>664.6</v>
      </c>
      <c r="AK26" s="18">
        <f>(Table1[[#This Row],[Food Category]]/$AJ$375)</f>
        <v>0</v>
      </c>
    </row>
    <row r="27" spans="1:37" hidden="1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>
        <f t="shared" si="0"/>
        <v>1277.6000000000001</v>
      </c>
      <c r="AF27">
        <f t="shared" si="1"/>
        <v>222.8</v>
      </c>
      <c r="AG27">
        <f t="shared" si="2"/>
        <v>214.8</v>
      </c>
      <c r="AH27">
        <f t="shared" si="3"/>
        <v>217.8</v>
      </c>
      <c r="AI27">
        <f t="shared" si="4"/>
        <v>774.7</v>
      </c>
      <c r="AK27" s="18">
        <f>(Table1[[#This Row],[Food Category]]/$AJ$375)</f>
        <v>0</v>
      </c>
    </row>
    <row r="28" spans="1:37" hidden="1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>
        <f t="shared" si="0"/>
        <v>1268.8999999999999</v>
      </c>
      <c r="AF28">
        <f t="shared" si="1"/>
        <v>222.8</v>
      </c>
      <c r="AG28">
        <f t="shared" si="2"/>
        <v>214.89999999999998</v>
      </c>
      <c r="AH28">
        <f t="shared" si="3"/>
        <v>217.4</v>
      </c>
      <c r="AI28">
        <f t="shared" si="4"/>
        <v>774.4</v>
      </c>
      <c r="AK28" s="18">
        <f>(Table1[[#This Row],[Food Category]]/$AJ$375)</f>
        <v>0</v>
      </c>
    </row>
    <row r="29" spans="1:37" hidden="1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>
        <f t="shared" si="0"/>
        <v>1283.7</v>
      </c>
      <c r="AF29">
        <f t="shared" si="1"/>
        <v>224.3</v>
      </c>
      <c r="AG29">
        <f t="shared" si="2"/>
        <v>216.4</v>
      </c>
      <c r="AH29">
        <f t="shared" si="3"/>
        <v>217.6</v>
      </c>
      <c r="AI29">
        <f t="shared" si="4"/>
        <v>668.1</v>
      </c>
      <c r="AK29" s="18">
        <f>(Table1[[#This Row],[Food Category]]/$AJ$375)</f>
        <v>0</v>
      </c>
    </row>
    <row r="30" spans="1:37" hidden="1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>
        <f t="shared" si="0"/>
        <v>1292.3</v>
      </c>
      <c r="AF30">
        <f t="shared" si="1"/>
        <v>224.9</v>
      </c>
      <c r="AG30">
        <f t="shared" si="2"/>
        <v>215.5</v>
      </c>
      <c r="AH30">
        <f t="shared" si="3"/>
        <v>217.7</v>
      </c>
      <c r="AI30">
        <f t="shared" si="4"/>
        <v>777</v>
      </c>
      <c r="AK30" s="18">
        <f>(Table1[[#This Row],[Food Category]]/$AJ$375)</f>
        <v>0</v>
      </c>
    </row>
    <row r="31" spans="1:37" hidden="1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>
        <f t="shared" si="0"/>
        <v>1285.7000000000003</v>
      </c>
      <c r="AF31">
        <f t="shared" si="1"/>
        <v>224.5</v>
      </c>
      <c r="AG31">
        <f t="shared" si="2"/>
        <v>216</v>
      </c>
      <c r="AH31">
        <f t="shared" si="3"/>
        <v>217.6</v>
      </c>
      <c r="AI31">
        <f t="shared" si="4"/>
        <v>777.7</v>
      </c>
      <c r="AK31" s="18">
        <f>(Table1[[#This Row],[Food Category]]/$AJ$375)</f>
        <v>0</v>
      </c>
    </row>
    <row r="32" spans="1:37" hidden="1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>
        <f t="shared" si="0"/>
        <v>1307.8000000000002</v>
      </c>
      <c r="AF32">
        <f t="shared" si="1"/>
        <v>229</v>
      </c>
      <c r="AG32">
        <f t="shared" si="2"/>
        <v>217.9</v>
      </c>
      <c r="AH32">
        <f t="shared" si="3"/>
        <v>218.3</v>
      </c>
      <c r="AI32">
        <f t="shared" si="4"/>
        <v>673.49999999999989</v>
      </c>
      <c r="AK32" s="18">
        <f>(Table1[[#This Row],[Food Category]]/$AJ$375)</f>
        <v>0</v>
      </c>
    </row>
    <row r="33" spans="1:37" hidden="1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>
        <f t="shared" si="0"/>
        <v>1310</v>
      </c>
      <c r="AF33">
        <f t="shared" si="1"/>
        <v>234.6</v>
      </c>
      <c r="AG33">
        <f t="shared" si="2"/>
        <v>216.5</v>
      </c>
      <c r="AH33">
        <f t="shared" si="3"/>
        <v>218</v>
      </c>
      <c r="AI33">
        <f t="shared" si="4"/>
        <v>780.2</v>
      </c>
      <c r="AK33" s="18">
        <f>(Table1[[#This Row],[Food Category]]/$AJ$375)</f>
        <v>0</v>
      </c>
    </row>
    <row r="34" spans="1:37" hidden="1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>
        <f t="shared" si="0"/>
        <v>1307.5999999999999</v>
      </c>
      <c r="AF34">
        <f t="shared" si="1"/>
        <v>231.2</v>
      </c>
      <c r="AG34">
        <f t="shared" si="2"/>
        <v>217.39999999999998</v>
      </c>
      <c r="AH34">
        <f t="shared" si="3"/>
        <v>218.1</v>
      </c>
      <c r="AI34">
        <f t="shared" si="4"/>
        <v>782.4</v>
      </c>
      <c r="AK34" s="18">
        <f>(Table1[[#This Row],[Food Category]]/$AJ$375)</f>
        <v>0</v>
      </c>
    </row>
    <row r="35" spans="1:37" hidden="1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>
        <f t="shared" si="0"/>
        <v>1274.8</v>
      </c>
      <c r="AF35">
        <f t="shared" si="1"/>
        <v>234.2</v>
      </c>
      <c r="AG35">
        <f t="shared" si="2"/>
        <v>218.2</v>
      </c>
      <c r="AH35">
        <f t="shared" si="3"/>
        <v>219.10000000000002</v>
      </c>
      <c r="AI35">
        <f t="shared" si="4"/>
        <v>674</v>
      </c>
      <c r="AK35" s="18">
        <f>(Table1[[#This Row],[Food Category]]/$AJ$375)</f>
        <v>0</v>
      </c>
    </row>
    <row r="36" spans="1:37" hidden="1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>
        <f t="shared" si="0"/>
        <v>1263.0999999999999</v>
      </c>
      <c r="AF36">
        <f t="shared" si="1"/>
        <v>241.3</v>
      </c>
      <c r="AG36">
        <f t="shared" si="2"/>
        <v>216.7</v>
      </c>
      <c r="AH36">
        <f t="shared" si="3"/>
        <v>218.60000000000002</v>
      </c>
      <c r="AI36">
        <f t="shared" si="4"/>
        <v>780.19999999999993</v>
      </c>
      <c r="AK36" s="18">
        <f>(Table1[[#This Row],[Food Category]]/$AJ$375)</f>
        <v>0</v>
      </c>
    </row>
    <row r="37" spans="1:37" hidden="1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>
        <f t="shared" si="0"/>
        <v>1270.4000000000003</v>
      </c>
      <c r="AF37">
        <f t="shared" si="1"/>
        <v>236.9</v>
      </c>
      <c r="AG37">
        <f t="shared" si="2"/>
        <v>217.60000000000002</v>
      </c>
      <c r="AH37">
        <f t="shared" si="3"/>
        <v>218.8</v>
      </c>
      <c r="AI37">
        <f t="shared" si="4"/>
        <v>782.6</v>
      </c>
      <c r="AK37" s="18">
        <f>(Table1[[#This Row],[Food Category]]/$AJ$375)</f>
        <v>0</v>
      </c>
    </row>
    <row r="38" spans="1:37" hidden="1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>
        <f t="shared" si="0"/>
        <v>1251.7</v>
      </c>
      <c r="AF38">
        <f t="shared" si="1"/>
        <v>234.9</v>
      </c>
      <c r="AG38">
        <f t="shared" si="2"/>
        <v>218.89999999999998</v>
      </c>
      <c r="AH38">
        <f t="shared" si="3"/>
        <v>220.1</v>
      </c>
      <c r="AI38">
        <f t="shared" si="4"/>
        <v>674.90000000000009</v>
      </c>
      <c r="AK38" s="18">
        <f>(Table1[[#This Row],[Food Category]]/$AJ$375)</f>
        <v>0</v>
      </c>
    </row>
    <row r="39" spans="1:37" hidden="1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>
        <f t="shared" si="0"/>
        <v>1240.8000000000002</v>
      </c>
      <c r="AF39">
        <f t="shared" si="1"/>
        <v>243.5</v>
      </c>
      <c r="AG39">
        <f t="shared" si="2"/>
        <v>217.7</v>
      </c>
      <c r="AH39">
        <f t="shared" si="3"/>
        <v>220.6</v>
      </c>
      <c r="AI39">
        <f t="shared" si="4"/>
        <v>784.4</v>
      </c>
      <c r="AK39" s="18">
        <f>(Table1[[#This Row],[Food Category]]/$AJ$375)</f>
        <v>0</v>
      </c>
    </row>
    <row r="40" spans="1:37" hidden="1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>
        <f t="shared" si="0"/>
        <v>1247.5999999999999</v>
      </c>
      <c r="AF40">
        <f t="shared" si="1"/>
        <v>238.2</v>
      </c>
      <c r="AG40">
        <f t="shared" si="2"/>
        <v>218.5</v>
      </c>
      <c r="AH40">
        <f t="shared" si="3"/>
        <v>220.4</v>
      </c>
      <c r="AI40">
        <f t="shared" si="4"/>
        <v>785.50000000000011</v>
      </c>
      <c r="AK40" s="18">
        <f>(Table1[[#This Row],[Food Category]]/$AJ$375)</f>
        <v>0</v>
      </c>
    </row>
    <row r="41" spans="1:37" hidden="1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>
        <f t="shared" si="0"/>
        <v>1246</v>
      </c>
      <c r="AF41">
        <f t="shared" si="1"/>
        <v>236.2</v>
      </c>
      <c r="AG41">
        <f t="shared" si="2"/>
        <v>219.60000000000002</v>
      </c>
      <c r="AH41">
        <f t="shared" si="3"/>
        <v>220.7</v>
      </c>
      <c r="AI41">
        <f t="shared" si="4"/>
        <v>676</v>
      </c>
      <c r="AK41" s="18">
        <f>(Table1[[#This Row],[Food Category]]/$AJ$375)</f>
        <v>0</v>
      </c>
    </row>
    <row r="42" spans="1:37" hidden="1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>
        <f t="shared" si="0"/>
        <v>1236.3000000000002</v>
      </c>
      <c r="AF42">
        <f t="shared" si="1"/>
        <v>239.7</v>
      </c>
      <c r="AG42">
        <f t="shared" si="2"/>
        <v>219.10000000000002</v>
      </c>
      <c r="AH42">
        <f t="shared" si="3"/>
        <v>221.6</v>
      </c>
      <c r="AI42">
        <f t="shared" si="4"/>
        <v>787.8</v>
      </c>
      <c r="AK42" s="18">
        <f>(Table1[[#This Row],[Food Category]]/$AJ$375)</f>
        <v>0</v>
      </c>
    </row>
    <row r="43" spans="1:37" hidden="1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>
        <f t="shared" si="0"/>
        <v>1242.5</v>
      </c>
      <c r="AF43">
        <f t="shared" si="1"/>
        <v>237.6</v>
      </c>
      <c r="AG43">
        <f t="shared" si="2"/>
        <v>219.4</v>
      </c>
      <c r="AH43">
        <f t="shared" si="3"/>
        <v>221.2</v>
      </c>
      <c r="AI43">
        <f t="shared" si="4"/>
        <v>788</v>
      </c>
      <c r="AK43" s="18">
        <f>(Table1[[#This Row],[Food Category]]/$AJ$375)</f>
        <v>0</v>
      </c>
    </row>
    <row r="44" spans="1:37" hidden="1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>
        <f t="shared" si="0"/>
        <v>1254.6000000000001</v>
      </c>
      <c r="AF44">
        <f t="shared" si="1"/>
        <v>236.8</v>
      </c>
      <c r="AG44">
        <f t="shared" si="2"/>
        <v>220.3</v>
      </c>
      <c r="AH44">
        <f t="shared" si="3"/>
        <v>221.4</v>
      </c>
      <c r="AI44">
        <f t="shared" si="4"/>
        <v>678.5</v>
      </c>
      <c r="AK44" s="18">
        <f>(Table1[[#This Row],[Food Category]]/$AJ$375)</f>
        <v>0</v>
      </c>
    </row>
    <row r="45" spans="1:37" hidden="1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>
        <f t="shared" si="0"/>
        <v>1245.3</v>
      </c>
      <c r="AF45">
        <f t="shared" si="1"/>
        <v>237.7</v>
      </c>
      <c r="AG45">
        <f t="shared" si="2"/>
        <v>220</v>
      </c>
      <c r="AH45">
        <f t="shared" si="3"/>
        <v>222.5</v>
      </c>
      <c r="AI45">
        <f t="shared" si="4"/>
        <v>790.5</v>
      </c>
      <c r="AK45" s="18">
        <f>(Table1[[#This Row],[Food Category]]/$AJ$375)</f>
        <v>0</v>
      </c>
    </row>
    <row r="46" spans="1:37" hidden="1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>
        <f t="shared" si="0"/>
        <v>1251.1999999999998</v>
      </c>
      <c r="AF46">
        <f t="shared" si="1"/>
        <v>237.1</v>
      </c>
      <c r="AG46">
        <f t="shared" si="2"/>
        <v>220.2</v>
      </c>
      <c r="AH46">
        <f t="shared" si="3"/>
        <v>222</v>
      </c>
      <c r="AI46">
        <f t="shared" si="4"/>
        <v>791</v>
      </c>
      <c r="AK46" s="18">
        <f>(Table1[[#This Row],[Food Category]]/$AJ$375)</f>
        <v>0</v>
      </c>
    </row>
    <row r="47" spans="1:37" hidden="1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>
        <f t="shared" si="0"/>
        <v>1269</v>
      </c>
      <c r="AF47">
        <f t="shared" si="1"/>
        <v>235.1</v>
      </c>
      <c r="AG47">
        <f t="shared" si="2"/>
        <v>220.7</v>
      </c>
      <c r="AH47">
        <f t="shared" si="3"/>
        <v>221.7</v>
      </c>
      <c r="AI47">
        <f t="shared" si="4"/>
        <v>680.6</v>
      </c>
      <c r="AK47" s="18">
        <f>(Table1[[#This Row],[Food Category]]/$AJ$375)</f>
        <v>0</v>
      </c>
    </row>
    <row r="48" spans="1:37" hidden="1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>
        <f t="shared" si="0"/>
        <v>1273.6999999999998</v>
      </c>
      <c r="AF48">
        <f t="shared" si="1"/>
        <v>230.3</v>
      </c>
      <c r="AG48">
        <f t="shared" si="2"/>
        <v>220.1</v>
      </c>
      <c r="AH48">
        <f t="shared" si="3"/>
        <v>222.4</v>
      </c>
      <c r="AI48">
        <f t="shared" si="4"/>
        <v>793.1</v>
      </c>
      <c r="AK48" s="18">
        <f>(Table1[[#This Row],[Food Category]]/$AJ$375)</f>
        <v>0</v>
      </c>
    </row>
    <row r="49" spans="1:37" hidden="1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>
        <f t="shared" si="0"/>
        <v>1270.8999999999999</v>
      </c>
      <c r="AF49">
        <f t="shared" si="1"/>
        <v>233.2</v>
      </c>
      <c r="AG49">
        <f t="shared" si="2"/>
        <v>220.5</v>
      </c>
      <c r="AH49">
        <f t="shared" si="3"/>
        <v>222.10000000000002</v>
      </c>
      <c r="AI49">
        <f t="shared" si="4"/>
        <v>793.80000000000007</v>
      </c>
      <c r="AK49" s="18">
        <f>(Table1[[#This Row],[Food Category]]/$AJ$375)</f>
        <v>0</v>
      </c>
    </row>
    <row r="50" spans="1:37" hidden="1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>
        <f t="shared" si="0"/>
        <v>1279.0000000000002</v>
      </c>
      <c r="AF50">
        <f t="shared" si="1"/>
        <v>234.9</v>
      </c>
      <c r="AG50">
        <f t="shared" si="2"/>
        <v>221</v>
      </c>
      <c r="AH50">
        <f t="shared" si="3"/>
        <v>222.3</v>
      </c>
      <c r="AI50">
        <f t="shared" si="4"/>
        <v>682.99999999999989</v>
      </c>
      <c r="AK50" s="18">
        <f>(Table1[[#This Row],[Food Category]]/$AJ$375)</f>
        <v>0</v>
      </c>
    </row>
    <row r="51" spans="1:37" hidden="1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>
        <f t="shared" si="0"/>
        <v>1292</v>
      </c>
      <c r="AF51">
        <f t="shared" si="1"/>
        <v>233.3</v>
      </c>
      <c r="AG51">
        <f t="shared" si="2"/>
        <v>220.5</v>
      </c>
      <c r="AH51">
        <f t="shared" si="3"/>
        <v>222.8</v>
      </c>
      <c r="AI51">
        <f t="shared" si="4"/>
        <v>796.4</v>
      </c>
      <c r="AK51" s="18">
        <f>(Table1[[#This Row],[Food Category]]/$AJ$375)</f>
        <v>0</v>
      </c>
    </row>
    <row r="52" spans="1:37" hidden="1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>
        <f t="shared" si="0"/>
        <v>1284.2</v>
      </c>
      <c r="AF52">
        <f t="shared" si="1"/>
        <v>234.3</v>
      </c>
      <c r="AG52">
        <f t="shared" si="2"/>
        <v>220.89999999999998</v>
      </c>
      <c r="AH52">
        <f t="shared" si="3"/>
        <v>222.5</v>
      </c>
      <c r="AI52">
        <f t="shared" si="4"/>
        <v>796.59999999999991</v>
      </c>
      <c r="AK52" s="18">
        <f>(Table1[[#This Row],[Food Category]]/$AJ$375)</f>
        <v>0</v>
      </c>
    </row>
    <row r="53" spans="1:37" hidden="1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>
        <f t="shared" si="0"/>
        <v>1290.3</v>
      </c>
      <c r="AF53">
        <f t="shared" si="1"/>
        <v>235.39999999999998</v>
      </c>
      <c r="AG53">
        <f t="shared" si="2"/>
        <v>220.8</v>
      </c>
      <c r="AH53">
        <f t="shared" si="3"/>
        <v>223.60000000000002</v>
      </c>
      <c r="AI53">
        <f t="shared" si="4"/>
        <v>688.1</v>
      </c>
      <c r="AK53" s="18">
        <f>(Table1[[#This Row],[Food Category]]/$AJ$375)</f>
        <v>0</v>
      </c>
    </row>
    <row r="54" spans="1:37" hidden="1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>
        <f t="shared" si="0"/>
        <v>1311.1999999999998</v>
      </c>
      <c r="AF54">
        <f t="shared" si="1"/>
        <v>235.8</v>
      </c>
      <c r="AG54">
        <f t="shared" si="2"/>
        <v>220.10000000000002</v>
      </c>
      <c r="AH54">
        <f t="shared" si="3"/>
        <v>223.3</v>
      </c>
      <c r="AI54">
        <f t="shared" si="4"/>
        <v>798.50000000000011</v>
      </c>
      <c r="AK54" s="18">
        <f>(Table1[[#This Row],[Food Category]]/$AJ$375)</f>
        <v>0</v>
      </c>
    </row>
    <row r="55" spans="1:37" hidden="1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>
        <f t="shared" si="0"/>
        <v>1298.2</v>
      </c>
      <c r="AF55">
        <f t="shared" si="1"/>
        <v>235.5</v>
      </c>
      <c r="AG55">
        <f t="shared" si="2"/>
        <v>220.6</v>
      </c>
      <c r="AH55">
        <f t="shared" si="3"/>
        <v>223.39999999999998</v>
      </c>
      <c r="AI55">
        <f t="shared" si="4"/>
        <v>800.3</v>
      </c>
      <c r="AK55" s="18">
        <f>(Table1[[#This Row],[Food Category]]/$AJ$375)</f>
        <v>0</v>
      </c>
    </row>
    <row r="56" spans="1:37" hidden="1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>
        <f t="shared" si="0"/>
        <v>1324.9</v>
      </c>
      <c r="AF56">
        <f t="shared" si="1"/>
        <v>238.3</v>
      </c>
      <c r="AG56">
        <f t="shared" si="2"/>
        <v>222.2</v>
      </c>
      <c r="AH56">
        <f t="shared" si="3"/>
        <v>225</v>
      </c>
      <c r="AI56">
        <f t="shared" si="4"/>
        <v>694.5</v>
      </c>
      <c r="AK56" s="18">
        <f>(Table1[[#This Row],[Food Category]]/$AJ$375)</f>
        <v>0</v>
      </c>
    </row>
    <row r="57" spans="1:37" hidden="1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>
        <f t="shared" si="0"/>
        <v>1359.9</v>
      </c>
      <c r="AF57">
        <f t="shared" si="1"/>
        <v>239.6</v>
      </c>
      <c r="AG57">
        <f t="shared" si="2"/>
        <v>221.2</v>
      </c>
      <c r="AH57">
        <f t="shared" si="3"/>
        <v>225.4</v>
      </c>
      <c r="AI57">
        <f t="shared" si="4"/>
        <v>807.69999999999993</v>
      </c>
      <c r="AK57" s="18">
        <f>(Table1[[#This Row],[Food Category]]/$AJ$375)</f>
        <v>0</v>
      </c>
    </row>
    <row r="58" spans="1:37" hidden="1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>
        <f t="shared" si="0"/>
        <v>1337.5</v>
      </c>
      <c r="AF58">
        <f t="shared" si="1"/>
        <v>238.8</v>
      </c>
      <c r="AG58">
        <f t="shared" si="2"/>
        <v>221.9</v>
      </c>
      <c r="AH58">
        <f t="shared" si="3"/>
        <v>225.2</v>
      </c>
      <c r="AI58">
        <f t="shared" si="4"/>
        <v>808.3</v>
      </c>
      <c r="AK58" s="18">
        <f>(Table1[[#This Row],[Food Category]]/$AJ$375)</f>
        <v>0</v>
      </c>
    </row>
    <row r="59" spans="1:37" hidden="1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>
        <f t="shared" si="0"/>
        <v>1342.6000000000001</v>
      </c>
      <c r="AF59">
        <f t="shared" si="1"/>
        <v>239.7</v>
      </c>
      <c r="AG59">
        <f t="shared" si="2"/>
        <v>223.4</v>
      </c>
      <c r="AH59">
        <f t="shared" si="3"/>
        <v>225.4</v>
      </c>
      <c r="AI59">
        <f t="shared" si="4"/>
        <v>697.5</v>
      </c>
      <c r="AK59" s="18">
        <f>(Table1[[#This Row],[Food Category]]/$AJ$375)</f>
        <v>0</v>
      </c>
    </row>
    <row r="60" spans="1:37" hidden="1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>
        <f t="shared" si="0"/>
        <v>1378.3000000000002</v>
      </c>
      <c r="AF60">
        <f t="shared" si="1"/>
        <v>238.7</v>
      </c>
      <c r="AG60">
        <f t="shared" si="2"/>
        <v>222.7</v>
      </c>
      <c r="AH60">
        <f t="shared" si="3"/>
        <v>225.4</v>
      </c>
      <c r="AI60">
        <f t="shared" si="4"/>
        <v>811.9</v>
      </c>
      <c r="AK60" s="18">
        <f>(Table1[[#This Row],[Food Category]]/$AJ$375)</f>
        <v>0</v>
      </c>
    </row>
    <row r="61" spans="1:37" hidden="1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>
        <f t="shared" si="0"/>
        <v>1355.1999999999998</v>
      </c>
      <c r="AF61">
        <f t="shared" si="1"/>
        <v>239.3</v>
      </c>
      <c r="AG61">
        <f t="shared" si="2"/>
        <v>223.2</v>
      </c>
      <c r="AH61">
        <f t="shared" si="3"/>
        <v>225.39999999999998</v>
      </c>
      <c r="AI61">
        <f t="shared" si="4"/>
        <v>811.8</v>
      </c>
      <c r="AK61" s="18">
        <f>(Table1[[#This Row],[Food Category]]/$AJ$375)</f>
        <v>0</v>
      </c>
    </row>
    <row r="62" spans="1:37" hidden="1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>
        <f t="shared" si="0"/>
        <v>1342.7</v>
      </c>
      <c r="AF62">
        <f t="shared" si="1"/>
        <v>240.5</v>
      </c>
      <c r="AG62">
        <f t="shared" si="2"/>
        <v>223.6</v>
      </c>
      <c r="AH62">
        <f t="shared" si="3"/>
        <v>225.39999999999998</v>
      </c>
      <c r="AI62">
        <f t="shared" si="4"/>
        <v>699.4</v>
      </c>
      <c r="AK62" s="18">
        <f>(Table1[[#This Row],[Food Category]]/$AJ$375)</f>
        <v>0</v>
      </c>
    </row>
    <row r="63" spans="1:37" hidden="1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>
        <f t="shared" si="0"/>
        <v>1354.6000000000001</v>
      </c>
      <c r="AF63">
        <f t="shared" si="1"/>
        <v>239.10000000000002</v>
      </c>
      <c r="AG63">
        <f t="shared" si="2"/>
        <v>222.3</v>
      </c>
      <c r="AH63">
        <f t="shared" si="3"/>
        <v>224.60000000000002</v>
      </c>
      <c r="AI63">
        <f t="shared" si="4"/>
        <v>811.7</v>
      </c>
      <c r="AK63" s="18">
        <f>(Table1[[#This Row],[Food Category]]/$AJ$375)</f>
        <v>0</v>
      </c>
    </row>
    <row r="64" spans="1:37" hidden="1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>
        <f t="shared" si="0"/>
        <v>1346.1</v>
      </c>
      <c r="AF64">
        <f t="shared" si="1"/>
        <v>240</v>
      </c>
      <c r="AG64">
        <f t="shared" si="2"/>
        <v>223.2</v>
      </c>
      <c r="AH64">
        <f t="shared" si="3"/>
        <v>225.1</v>
      </c>
      <c r="AI64">
        <f t="shared" si="4"/>
        <v>813.1</v>
      </c>
      <c r="AK64" s="18">
        <f>(Table1[[#This Row],[Food Category]]/$AJ$375)</f>
        <v>0</v>
      </c>
    </row>
    <row r="65" spans="1:37" hidden="1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>
        <f t="shared" si="0"/>
        <v>1339.6999999999998</v>
      </c>
      <c r="AF65">
        <f t="shared" si="1"/>
        <v>241.5</v>
      </c>
      <c r="AG65">
        <f t="shared" si="2"/>
        <v>224.6</v>
      </c>
      <c r="AH65">
        <f t="shared" si="3"/>
        <v>225.6</v>
      </c>
      <c r="AI65">
        <f t="shared" si="4"/>
        <v>701.5</v>
      </c>
      <c r="AK65" s="18">
        <f>(Table1[[#This Row],[Food Category]]/$AJ$375)</f>
        <v>0</v>
      </c>
    </row>
    <row r="66" spans="1:37" hidden="1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>
        <f t="shared" ref="AE66:AE127" si="5">SUM(D66,E66,H66,I66,J66,K66,L66,M66,N66,O66,P66)</f>
        <v>1346.6</v>
      </c>
      <c r="AF66">
        <f t="shared" ref="AF66:AF127" si="6">SUM(F66,G66)</f>
        <v>240.89999999999998</v>
      </c>
      <c r="AG66">
        <f t="shared" ref="AG66:AG127" si="7">SUM(X66,AB66)</f>
        <v>222.7</v>
      </c>
      <c r="AH66">
        <f t="shared" ref="AH66:AH127" si="8">SUM(Z66,Y66)</f>
        <v>224.6</v>
      </c>
      <c r="AI66">
        <f t="shared" ref="AI66:AI127" si="9">SUM(Q66,U66,V66,W66,Y66,AC66,AD66)</f>
        <v>812.6</v>
      </c>
      <c r="AK66" s="18">
        <f>(Table1[[#This Row],[Food Category]]/$AJ$375)</f>
        <v>0</v>
      </c>
    </row>
    <row r="67" spans="1:37" hidden="1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>
        <f t="shared" si="5"/>
        <v>1341.4</v>
      </c>
      <c r="AF67">
        <f t="shared" si="6"/>
        <v>241.3</v>
      </c>
      <c r="AG67">
        <f t="shared" si="7"/>
        <v>223.89999999999998</v>
      </c>
      <c r="AH67">
        <f t="shared" si="8"/>
        <v>225.1</v>
      </c>
      <c r="AI67">
        <f t="shared" si="9"/>
        <v>815</v>
      </c>
      <c r="AK67" s="18">
        <f>(Table1[[#This Row],[Food Category]]/$AJ$375)</f>
        <v>0</v>
      </c>
    </row>
    <row r="68" spans="1:37" hidden="1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>
        <f t="shared" si="5"/>
        <v>1338.1000000000001</v>
      </c>
      <c r="AF68">
        <f t="shared" si="6"/>
        <v>243.9</v>
      </c>
      <c r="AG68">
        <f t="shared" si="7"/>
        <v>224.7</v>
      </c>
      <c r="AH68">
        <f t="shared" si="8"/>
        <v>225.3</v>
      </c>
      <c r="AI68">
        <f t="shared" si="9"/>
        <v>703.4</v>
      </c>
      <c r="AK68" s="18">
        <f>(Table1[[#This Row],[Food Category]]/$AJ$375)</f>
        <v>0</v>
      </c>
    </row>
    <row r="69" spans="1:37" hidden="1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>
        <f t="shared" si="5"/>
        <v>1340.5000000000002</v>
      </c>
      <c r="AF69">
        <f t="shared" si="6"/>
        <v>247.3</v>
      </c>
      <c r="AG69">
        <f t="shared" si="7"/>
        <v>222.6</v>
      </c>
      <c r="AH69">
        <f t="shared" si="8"/>
        <v>223.7</v>
      </c>
      <c r="AI69">
        <f t="shared" si="9"/>
        <v>814</v>
      </c>
      <c r="AK69" s="18">
        <f>(Table1[[#This Row],[Food Category]]/$AJ$375)</f>
        <v>0</v>
      </c>
    </row>
    <row r="70" spans="1:37" hidden="1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>
        <f t="shared" si="5"/>
        <v>1338</v>
      </c>
      <c r="AF70">
        <f t="shared" si="6"/>
        <v>245.2</v>
      </c>
      <c r="AG70">
        <f t="shared" si="7"/>
        <v>223.89999999999998</v>
      </c>
      <c r="AH70">
        <f t="shared" si="8"/>
        <v>224.5</v>
      </c>
      <c r="AI70">
        <f t="shared" si="9"/>
        <v>816.69999999999993</v>
      </c>
      <c r="AK70" s="18">
        <f>(Table1[[#This Row],[Food Category]]/$AJ$375)</f>
        <v>0</v>
      </c>
    </row>
    <row r="71" spans="1:37" hidden="1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>
        <f t="shared" si="5"/>
        <v>1323.6</v>
      </c>
      <c r="AF71">
        <f t="shared" si="6"/>
        <v>246</v>
      </c>
      <c r="AG71">
        <f t="shared" si="7"/>
        <v>225.60000000000002</v>
      </c>
      <c r="AH71">
        <f t="shared" si="8"/>
        <v>224.8</v>
      </c>
      <c r="AI71">
        <f t="shared" si="9"/>
        <v>703.3</v>
      </c>
      <c r="AK71" s="18">
        <f>(Table1[[#This Row],[Food Category]]/$AJ$375)</f>
        <v>0</v>
      </c>
    </row>
    <row r="72" spans="1:37" hidden="1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>
        <f t="shared" si="5"/>
        <v>1325.9999999999998</v>
      </c>
      <c r="AF72">
        <f t="shared" si="6"/>
        <v>251.2</v>
      </c>
      <c r="AG72">
        <f t="shared" si="7"/>
        <v>223.60000000000002</v>
      </c>
      <c r="AH72">
        <f t="shared" si="8"/>
        <v>223.1</v>
      </c>
      <c r="AI72">
        <f t="shared" si="9"/>
        <v>813.3</v>
      </c>
      <c r="AK72" s="18">
        <f>(Table1[[#This Row],[Food Category]]/$AJ$375)</f>
        <v>0</v>
      </c>
    </row>
    <row r="73" spans="1:37" hidden="1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>
        <f t="shared" si="5"/>
        <v>1323.7</v>
      </c>
      <c r="AF73">
        <f t="shared" si="6"/>
        <v>248</v>
      </c>
      <c r="AG73">
        <f t="shared" si="7"/>
        <v>224.89999999999998</v>
      </c>
      <c r="AH73">
        <f t="shared" si="8"/>
        <v>224</v>
      </c>
      <c r="AI73">
        <f t="shared" si="9"/>
        <v>815.99999999999989</v>
      </c>
      <c r="AK73" s="18">
        <f>(Table1[[#This Row],[Food Category]]/$AJ$375)</f>
        <v>0</v>
      </c>
    </row>
    <row r="74" spans="1:37" hidden="1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>
        <f t="shared" si="5"/>
        <v>1321.1000000000001</v>
      </c>
      <c r="AF74">
        <f t="shared" si="6"/>
        <v>247</v>
      </c>
      <c r="AG74">
        <f t="shared" si="7"/>
        <v>226.8</v>
      </c>
      <c r="AH74">
        <f t="shared" si="8"/>
        <v>225</v>
      </c>
      <c r="AI74">
        <f t="shared" si="9"/>
        <v>705.8</v>
      </c>
      <c r="AK74" s="18">
        <f>(Table1[[#This Row],[Food Category]]/$AJ$375)</f>
        <v>0</v>
      </c>
    </row>
    <row r="75" spans="1:37" hidden="1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>
        <f t="shared" si="5"/>
        <v>1323.1</v>
      </c>
      <c r="AF75">
        <f t="shared" si="6"/>
        <v>251.8</v>
      </c>
      <c r="AG75">
        <f t="shared" si="7"/>
        <v>225.10000000000002</v>
      </c>
      <c r="AH75">
        <f t="shared" si="8"/>
        <v>222.5</v>
      </c>
      <c r="AI75">
        <f t="shared" si="9"/>
        <v>815.1</v>
      </c>
      <c r="AK75" s="18">
        <f>(Table1[[#This Row],[Food Category]]/$AJ$375)</f>
        <v>0</v>
      </c>
    </row>
    <row r="76" spans="1:37" hidden="1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>
        <f t="shared" si="5"/>
        <v>1320.5</v>
      </c>
      <c r="AF76">
        <f t="shared" si="6"/>
        <v>248.8</v>
      </c>
      <c r="AG76">
        <f t="shared" si="7"/>
        <v>226.2</v>
      </c>
      <c r="AH76">
        <f t="shared" si="8"/>
        <v>223.7</v>
      </c>
      <c r="AI76">
        <f t="shared" si="9"/>
        <v>818.8</v>
      </c>
      <c r="AK76" s="18">
        <f>(Table1[[#This Row],[Food Category]]/$AJ$375)</f>
        <v>0</v>
      </c>
    </row>
    <row r="77" spans="1:37" hidden="1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>
        <f t="shared" si="5"/>
        <v>1322.7</v>
      </c>
      <c r="AF77">
        <f t="shared" si="6"/>
        <v>247.89999999999998</v>
      </c>
      <c r="AG77">
        <f t="shared" si="7"/>
        <v>228.5</v>
      </c>
      <c r="AH77">
        <f t="shared" si="8"/>
        <v>225.7</v>
      </c>
      <c r="AI77">
        <f t="shared" si="9"/>
        <v>710.3</v>
      </c>
      <c r="AK77" s="18">
        <f>(Table1[[#This Row],[Food Category]]/$AJ$375)</f>
        <v>0</v>
      </c>
    </row>
    <row r="78" spans="1:37" hidden="1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>
        <f t="shared" si="5"/>
        <v>1326.0000000000002</v>
      </c>
      <c r="AF78">
        <f t="shared" si="6"/>
        <v>245.1</v>
      </c>
      <c r="AG78">
        <f t="shared" si="7"/>
        <v>225.8</v>
      </c>
      <c r="AH78">
        <f t="shared" si="8"/>
        <v>221.7</v>
      </c>
      <c r="AI78">
        <f t="shared" si="9"/>
        <v>816.6</v>
      </c>
      <c r="AK78" s="18">
        <f>(Table1[[#This Row],[Food Category]]/$AJ$375)</f>
        <v>0</v>
      </c>
    </row>
    <row r="79" spans="1:37" hidden="1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>
        <f t="shared" si="5"/>
        <v>1322.6</v>
      </c>
      <c r="AF79">
        <f t="shared" si="6"/>
        <v>246.8</v>
      </c>
      <c r="AG79">
        <f t="shared" si="7"/>
        <v>227.5</v>
      </c>
      <c r="AH79">
        <f t="shared" si="8"/>
        <v>223.60000000000002</v>
      </c>
      <c r="AI79">
        <f t="shared" si="9"/>
        <v>822.2</v>
      </c>
      <c r="AK79" s="18">
        <f>(Table1[[#This Row],[Food Category]]/$AJ$375)</f>
        <v>0</v>
      </c>
    </row>
    <row r="80" spans="1:37" hidden="1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>
        <f t="shared" si="5"/>
        <v>1326.6</v>
      </c>
      <c r="AF80">
        <f t="shared" si="6"/>
        <v>244.9</v>
      </c>
      <c r="AG80">
        <f t="shared" si="7"/>
        <v>229</v>
      </c>
      <c r="AH80">
        <f t="shared" si="8"/>
        <v>227.1</v>
      </c>
      <c r="AI80">
        <f t="shared" si="9"/>
        <v>713.7</v>
      </c>
      <c r="AK80" s="18">
        <f>(Table1[[#This Row],[Food Category]]/$AJ$375)</f>
        <v>0</v>
      </c>
    </row>
    <row r="81" spans="1:37" hidden="1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>
        <f t="shared" si="5"/>
        <v>1328.6000000000001</v>
      </c>
      <c r="AF81">
        <f t="shared" si="6"/>
        <v>239.4</v>
      </c>
      <c r="AG81">
        <f t="shared" si="7"/>
        <v>225.6</v>
      </c>
      <c r="AH81">
        <f t="shared" si="8"/>
        <v>223.8</v>
      </c>
      <c r="AI81">
        <f t="shared" si="9"/>
        <v>821.1</v>
      </c>
      <c r="AK81" s="18">
        <f>(Table1[[#This Row],[Food Category]]/$AJ$375)</f>
        <v>0</v>
      </c>
    </row>
    <row r="82" spans="1:37" hidden="1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>
        <f t="shared" si="5"/>
        <v>1326.3000000000002</v>
      </c>
      <c r="AF82">
        <f t="shared" si="6"/>
        <v>242.8</v>
      </c>
      <c r="AG82">
        <f t="shared" si="7"/>
        <v>227.7</v>
      </c>
      <c r="AH82">
        <f t="shared" si="8"/>
        <v>225.3</v>
      </c>
      <c r="AI82">
        <f t="shared" si="9"/>
        <v>826.7</v>
      </c>
      <c r="AK82" s="18">
        <f>(Table1[[#This Row],[Food Category]]/$AJ$375)</f>
        <v>0</v>
      </c>
    </row>
    <row r="83" spans="1:37" hidden="1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>
        <f t="shared" si="5"/>
        <v>1333.2</v>
      </c>
      <c r="AF83">
        <f t="shared" si="6"/>
        <v>244</v>
      </c>
      <c r="AG83">
        <f t="shared" si="7"/>
        <v>230.2</v>
      </c>
      <c r="AH83">
        <f t="shared" si="8"/>
        <v>228.10000000000002</v>
      </c>
      <c r="AI83">
        <f t="shared" si="9"/>
        <v>717.2</v>
      </c>
      <c r="AK83" s="18">
        <f>(Table1[[#This Row],[Food Category]]/$AJ$375)</f>
        <v>0</v>
      </c>
    </row>
    <row r="84" spans="1:37" hidden="1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>
        <f t="shared" si="5"/>
        <v>1339.8</v>
      </c>
      <c r="AF84">
        <f t="shared" si="6"/>
        <v>236.3</v>
      </c>
      <c r="AG84">
        <f t="shared" si="7"/>
        <v>226.39999999999998</v>
      </c>
      <c r="AH84">
        <f t="shared" si="8"/>
        <v>224</v>
      </c>
      <c r="AI84">
        <f t="shared" si="9"/>
        <v>824.7</v>
      </c>
      <c r="AK84" s="18">
        <f>(Table1[[#This Row],[Food Category]]/$AJ$375)</f>
        <v>0</v>
      </c>
    </row>
    <row r="85" spans="1:37" hidden="1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>
        <f t="shared" si="5"/>
        <v>1334.6999999999998</v>
      </c>
      <c r="AF85">
        <f t="shared" si="6"/>
        <v>241</v>
      </c>
      <c r="AG85">
        <f t="shared" si="7"/>
        <v>228.8</v>
      </c>
      <c r="AH85">
        <f t="shared" si="8"/>
        <v>226</v>
      </c>
      <c r="AI85">
        <f t="shared" si="9"/>
        <v>830.40000000000009</v>
      </c>
      <c r="AK85" s="18">
        <f>(Table1[[#This Row],[Food Category]]/$AJ$375)</f>
        <v>0</v>
      </c>
    </row>
    <row r="86" spans="1:37" hidden="1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>
        <f t="shared" si="5"/>
        <v>1342.7</v>
      </c>
      <c r="AF86">
        <f t="shared" si="6"/>
        <v>245</v>
      </c>
      <c r="AG86">
        <f t="shared" si="7"/>
        <v>231.7</v>
      </c>
      <c r="AH86">
        <f t="shared" si="8"/>
        <v>230</v>
      </c>
      <c r="AI86">
        <f t="shared" si="9"/>
        <v>722.7</v>
      </c>
      <c r="AK86" s="18">
        <f>(Table1[[#This Row],[Food Category]]/$AJ$375)</f>
        <v>0</v>
      </c>
    </row>
    <row r="87" spans="1:37" hidden="1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>
        <f t="shared" si="5"/>
        <v>1361</v>
      </c>
      <c r="AF87">
        <f t="shared" si="6"/>
        <v>237.89999999999998</v>
      </c>
      <c r="AG87">
        <f t="shared" si="7"/>
        <v>227.3</v>
      </c>
      <c r="AH87">
        <f t="shared" si="8"/>
        <v>226.8</v>
      </c>
      <c r="AI87">
        <f t="shared" si="9"/>
        <v>831.2</v>
      </c>
      <c r="AK87" s="18">
        <f>(Table1[[#This Row],[Food Category]]/$AJ$375)</f>
        <v>0</v>
      </c>
    </row>
    <row r="88" spans="1:37" hidden="1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>
        <f t="shared" si="5"/>
        <v>1348.1</v>
      </c>
      <c r="AF88">
        <f t="shared" si="6"/>
        <v>242.3</v>
      </c>
      <c r="AG88">
        <f t="shared" si="7"/>
        <v>230</v>
      </c>
      <c r="AH88">
        <f t="shared" si="8"/>
        <v>228.3</v>
      </c>
      <c r="AI88">
        <f t="shared" si="9"/>
        <v>836.6</v>
      </c>
      <c r="AK88" s="18">
        <f>(Table1[[#This Row],[Food Category]]/$AJ$375)</f>
        <v>0</v>
      </c>
    </row>
    <row r="89" spans="1:37" hidden="1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>
        <f t="shared" si="5"/>
        <v>1367.1</v>
      </c>
      <c r="AF89">
        <f t="shared" si="6"/>
        <v>250.79999999999998</v>
      </c>
      <c r="AG89">
        <f t="shared" si="7"/>
        <v>233.4</v>
      </c>
      <c r="AH89">
        <f t="shared" si="8"/>
        <v>232.10000000000002</v>
      </c>
      <c r="AI89">
        <f t="shared" si="9"/>
        <v>729.8</v>
      </c>
      <c r="AK89" s="18">
        <f>(Table1[[#This Row],[Food Category]]/$AJ$375)</f>
        <v>0</v>
      </c>
    </row>
    <row r="90" spans="1:37" hidden="1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>
        <f t="shared" si="5"/>
        <v>1388.4</v>
      </c>
      <c r="AF90">
        <f t="shared" si="6"/>
        <v>248.2</v>
      </c>
      <c r="AG90">
        <f t="shared" si="7"/>
        <v>227.9</v>
      </c>
      <c r="AH90">
        <f t="shared" si="8"/>
        <v>227.9</v>
      </c>
      <c r="AI90">
        <f t="shared" si="9"/>
        <v>834.80000000000007</v>
      </c>
      <c r="AK90" s="18">
        <f>(Table1[[#This Row],[Food Category]]/$AJ$375)</f>
        <v>0</v>
      </c>
    </row>
    <row r="91" spans="1:37" hidden="1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>
        <f t="shared" si="5"/>
        <v>1373.7</v>
      </c>
      <c r="AF91">
        <f t="shared" si="6"/>
        <v>249.79999999999998</v>
      </c>
      <c r="AG91">
        <f t="shared" si="7"/>
        <v>231.3</v>
      </c>
      <c r="AH91">
        <f t="shared" si="8"/>
        <v>229.8</v>
      </c>
      <c r="AI91">
        <f t="shared" si="9"/>
        <v>842</v>
      </c>
      <c r="AK91" s="18">
        <f>(Table1[[#This Row],[Food Category]]/$AJ$375)</f>
        <v>0</v>
      </c>
    </row>
    <row r="92" spans="1:37" hidden="1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>
        <f t="shared" si="5"/>
        <v>1374.6000000000001</v>
      </c>
      <c r="AF92">
        <f t="shared" si="6"/>
        <v>250.7</v>
      </c>
      <c r="AG92">
        <f t="shared" si="7"/>
        <v>233.5</v>
      </c>
      <c r="AH92">
        <f t="shared" si="8"/>
        <v>232.1</v>
      </c>
      <c r="AI92">
        <f t="shared" si="9"/>
        <v>732.30000000000007</v>
      </c>
      <c r="AK92" s="18">
        <f>(Table1[[#This Row],[Food Category]]/$AJ$375)</f>
        <v>0</v>
      </c>
    </row>
    <row r="93" spans="1:37" hidden="1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>
        <f t="shared" si="5"/>
        <v>1395.7</v>
      </c>
      <c r="AF93">
        <f t="shared" si="6"/>
        <v>247.2</v>
      </c>
      <c r="AG93">
        <f t="shared" si="7"/>
        <v>227.7</v>
      </c>
      <c r="AH93">
        <f t="shared" si="8"/>
        <v>228.1</v>
      </c>
      <c r="AI93">
        <f t="shared" si="9"/>
        <v>837.99999999999989</v>
      </c>
      <c r="AK93" s="18">
        <f>(Table1[[#This Row],[Food Category]]/$AJ$375)</f>
        <v>0</v>
      </c>
    </row>
    <row r="94" spans="1:37" hidden="1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>
        <f t="shared" si="5"/>
        <v>1381.3000000000002</v>
      </c>
      <c r="AF94">
        <f t="shared" si="6"/>
        <v>249.3</v>
      </c>
      <c r="AG94">
        <f t="shared" si="7"/>
        <v>231.3</v>
      </c>
      <c r="AH94">
        <f t="shared" si="8"/>
        <v>229.9</v>
      </c>
      <c r="AI94">
        <f t="shared" si="9"/>
        <v>845.2</v>
      </c>
      <c r="AK94" s="18">
        <f>(Table1[[#This Row],[Food Category]]/$AJ$375)</f>
        <v>0</v>
      </c>
    </row>
    <row r="95" spans="1:37" hidden="1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>
        <f t="shared" si="5"/>
        <v>1396.4999999999998</v>
      </c>
      <c r="AF95">
        <f t="shared" si="6"/>
        <v>250.10000000000002</v>
      </c>
      <c r="AG95">
        <f t="shared" si="7"/>
        <v>233.6</v>
      </c>
      <c r="AH95">
        <f t="shared" si="8"/>
        <v>232.1</v>
      </c>
      <c r="AI95">
        <f t="shared" si="9"/>
        <v>735.5</v>
      </c>
      <c r="AK95" s="18">
        <f>(Table1[[#This Row],[Food Category]]/$AJ$375)</f>
        <v>0</v>
      </c>
    </row>
    <row r="96" spans="1:37" hidden="1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>
        <f t="shared" si="5"/>
        <v>1412.7999999999997</v>
      </c>
      <c r="AF96">
        <f t="shared" si="6"/>
        <v>246.1</v>
      </c>
      <c r="AG96">
        <f t="shared" si="7"/>
        <v>228.6</v>
      </c>
      <c r="AH96">
        <f t="shared" si="8"/>
        <v>227.10000000000002</v>
      </c>
      <c r="AI96">
        <f t="shared" si="9"/>
        <v>839.7</v>
      </c>
      <c r="AK96" s="18">
        <f>(Table1[[#This Row],[Food Category]]/$AJ$375)</f>
        <v>0</v>
      </c>
    </row>
    <row r="97" spans="1:37" hidden="1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>
        <f t="shared" si="5"/>
        <v>1400.9999999999998</v>
      </c>
      <c r="AF97">
        <f t="shared" si="6"/>
        <v>248.6</v>
      </c>
      <c r="AG97">
        <f t="shared" si="7"/>
        <v>231.7</v>
      </c>
      <c r="AH97">
        <f t="shared" si="8"/>
        <v>229.5</v>
      </c>
      <c r="AI97">
        <f t="shared" si="9"/>
        <v>848.4</v>
      </c>
      <c r="AK97" s="18">
        <f>(Table1[[#This Row],[Food Category]]/$AJ$375)</f>
        <v>0</v>
      </c>
    </row>
    <row r="98" spans="1:37" hidden="1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>
        <f t="shared" si="5"/>
        <v>1407.7</v>
      </c>
      <c r="AF98">
        <f t="shared" si="6"/>
        <v>249.89999999999998</v>
      </c>
      <c r="AG98">
        <f t="shared" si="7"/>
        <v>235.10000000000002</v>
      </c>
      <c r="AH98">
        <f t="shared" si="8"/>
        <v>233.39999999999998</v>
      </c>
      <c r="AI98">
        <f t="shared" si="9"/>
        <v>738.8</v>
      </c>
      <c r="AK98" s="18">
        <f>(Table1[[#This Row],[Food Category]]/$AJ$375)</f>
        <v>0</v>
      </c>
    </row>
    <row r="99" spans="1:37" hidden="1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>
        <f t="shared" si="5"/>
        <v>1420.8999999999999</v>
      </c>
      <c r="AF99">
        <f t="shared" si="6"/>
        <v>243.9</v>
      </c>
      <c r="AG99">
        <f t="shared" si="7"/>
        <v>230</v>
      </c>
      <c r="AH99">
        <f t="shared" si="8"/>
        <v>226.39999999999998</v>
      </c>
      <c r="AI99">
        <f t="shared" si="9"/>
        <v>840.6</v>
      </c>
      <c r="AK99" s="18">
        <f>(Table1[[#This Row],[Food Category]]/$AJ$375)</f>
        <v>0</v>
      </c>
    </row>
    <row r="100" spans="1:37" hidden="1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>
        <f t="shared" si="5"/>
        <v>1410.7</v>
      </c>
      <c r="AF100">
        <f t="shared" si="6"/>
        <v>247.60000000000002</v>
      </c>
      <c r="AG100">
        <f t="shared" si="7"/>
        <v>233.2</v>
      </c>
      <c r="AH100">
        <f t="shared" si="8"/>
        <v>229.6</v>
      </c>
      <c r="AI100">
        <f t="shared" si="9"/>
        <v>850.8</v>
      </c>
      <c r="AK100" s="18">
        <f>(Table1[[#This Row],[Food Category]]/$AJ$375)</f>
        <v>0</v>
      </c>
    </row>
    <row r="101" spans="1:37" hidden="1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>
        <f t="shared" si="5"/>
        <v>1424.3999999999999</v>
      </c>
      <c r="AF101">
        <f t="shared" si="6"/>
        <v>250.2</v>
      </c>
      <c r="AG101">
        <f t="shared" si="7"/>
        <v>236.2</v>
      </c>
      <c r="AH101">
        <f t="shared" si="8"/>
        <v>233.89999999999998</v>
      </c>
      <c r="AI101">
        <f t="shared" si="9"/>
        <v>741.7</v>
      </c>
      <c r="AK101" s="18">
        <f>(Table1[[#This Row],[Food Category]]/$AJ$375)</f>
        <v>0</v>
      </c>
    </row>
    <row r="102" spans="1:37" hidden="1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>
        <f t="shared" si="5"/>
        <v>1448.4</v>
      </c>
      <c r="AF102">
        <f t="shared" si="6"/>
        <v>244.4</v>
      </c>
      <c r="AG102">
        <f t="shared" si="7"/>
        <v>231.2</v>
      </c>
      <c r="AH102">
        <f t="shared" si="8"/>
        <v>227</v>
      </c>
      <c r="AI102">
        <f t="shared" si="9"/>
        <v>843.30000000000007</v>
      </c>
      <c r="AK102" s="18">
        <f>(Table1[[#This Row],[Food Category]]/$AJ$375)</f>
        <v>0</v>
      </c>
    </row>
    <row r="103" spans="1:37" hidden="1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>
        <f t="shared" si="5"/>
        <v>1430.9999999999998</v>
      </c>
      <c r="AF103">
        <f t="shared" si="6"/>
        <v>248</v>
      </c>
      <c r="AG103">
        <f t="shared" si="7"/>
        <v>234.3</v>
      </c>
      <c r="AH103">
        <f t="shared" si="8"/>
        <v>230.10000000000002</v>
      </c>
      <c r="AI103">
        <f t="shared" si="9"/>
        <v>854.1</v>
      </c>
      <c r="AK103" s="18">
        <f>(Table1[[#This Row],[Food Category]]/$AJ$375)</f>
        <v>0</v>
      </c>
    </row>
    <row r="104" spans="1:37" hidden="1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>
        <f t="shared" si="5"/>
        <v>1435.1</v>
      </c>
      <c r="AF104">
        <f t="shared" si="6"/>
        <v>251.2</v>
      </c>
      <c r="AG104">
        <f t="shared" si="7"/>
        <v>236.8</v>
      </c>
      <c r="AH104">
        <f t="shared" si="8"/>
        <v>234.9</v>
      </c>
      <c r="AI104">
        <f t="shared" si="9"/>
        <v>745.3</v>
      </c>
      <c r="AK104" s="18">
        <f>(Table1[[#This Row],[Food Category]]/$AJ$375)</f>
        <v>0</v>
      </c>
    </row>
    <row r="105" spans="1:37" hidden="1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>
        <f t="shared" si="5"/>
        <v>1458.3999999999999</v>
      </c>
      <c r="AF105">
        <f t="shared" si="6"/>
        <v>250.1</v>
      </c>
      <c r="AG105">
        <f t="shared" si="7"/>
        <v>231.39999999999998</v>
      </c>
      <c r="AH105">
        <f t="shared" si="8"/>
        <v>227.2</v>
      </c>
      <c r="AI105">
        <f t="shared" si="9"/>
        <v>847.1</v>
      </c>
      <c r="AK105" s="18">
        <f>(Table1[[#This Row],[Food Category]]/$AJ$375)</f>
        <v>0</v>
      </c>
    </row>
    <row r="106" spans="1:37" hidden="1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>
        <f t="shared" si="5"/>
        <v>1441.3000000000002</v>
      </c>
      <c r="AF106">
        <f t="shared" si="6"/>
        <v>250.79999999999998</v>
      </c>
      <c r="AG106">
        <f t="shared" si="7"/>
        <v>234.7</v>
      </c>
      <c r="AH106">
        <f t="shared" si="8"/>
        <v>230.7</v>
      </c>
      <c r="AI106">
        <f t="shared" si="9"/>
        <v>857.7</v>
      </c>
      <c r="AK106" s="18">
        <f>(Table1[[#This Row],[Food Category]]/$AJ$375)</f>
        <v>0</v>
      </c>
    </row>
    <row r="107" spans="1:37" hidden="1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>
        <f t="shared" si="5"/>
        <v>1429.2</v>
      </c>
      <c r="AF107">
        <f t="shared" si="6"/>
        <v>253.10000000000002</v>
      </c>
      <c r="AG107">
        <f t="shared" si="7"/>
        <v>237.2</v>
      </c>
      <c r="AH107">
        <f t="shared" si="8"/>
        <v>235.6</v>
      </c>
      <c r="AI107">
        <f t="shared" si="9"/>
        <v>746.5</v>
      </c>
      <c r="AK107" s="18">
        <f>(Table1[[#This Row],[Food Category]]/$AJ$375)</f>
        <v>0</v>
      </c>
    </row>
    <row r="108" spans="1:37" hidden="1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>
        <f t="shared" si="5"/>
        <v>1443.1000000000001</v>
      </c>
      <c r="AF108">
        <f t="shared" si="6"/>
        <v>255.7</v>
      </c>
      <c r="AG108">
        <f t="shared" si="7"/>
        <v>231.8</v>
      </c>
      <c r="AH108">
        <f t="shared" si="8"/>
        <v>227.39999999999998</v>
      </c>
      <c r="AI108">
        <f t="shared" si="9"/>
        <v>847.6</v>
      </c>
      <c r="AK108" s="18">
        <f>(Table1[[#This Row],[Food Category]]/$AJ$375)</f>
        <v>0</v>
      </c>
    </row>
    <row r="109" spans="1:37" hidden="1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>
        <f t="shared" si="5"/>
        <v>1431.9</v>
      </c>
      <c r="AF109">
        <f t="shared" si="6"/>
        <v>254.2</v>
      </c>
      <c r="AG109">
        <f t="shared" si="7"/>
        <v>235.10000000000002</v>
      </c>
      <c r="AH109">
        <f t="shared" si="8"/>
        <v>231.1</v>
      </c>
      <c r="AI109">
        <f t="shared" si="9"/>
        <v>858.4</v>
      </c>
      <c r="AK109" s="18">
        <f>(Table1[[#This Row],[Food Category]]/$AJ$375)</f>
        <v>0</v>
      </c>
    </row>
    <row r="110" spans="1:37" hidden="1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>
        <f t="shared" si="5"/>
        <v>1433.3000000000002</v>
      </c>
      <c r="AF110">
        <f t="shared" si="6"/>
        <v>256.8</v>
      </c>
      <c r="AG110">
        <f t="shared" si="7"/>
        <v>238.60000000000002</v>
      </c>
      <c r="AH110">
        <f t="shared" si="8"/>
        <v>235</v>
      </c>
      <c r="AI110">
        <f t="shared" si="9"/>
        <v>748.2</v>
      </c>
      <c r="AK110" s="18">
        <f>(Table1[[#This Row],[Food Category]]/$AJ$375)</f>
        <v>0</v>
      </c>
    </row>
    <row r="111" spans="1:37" hidden="1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>
        <f t="shared" si="5"/>
        <v>1440.2</v>
      </c>
      <c r="AF111">
        <f t="shared" si="6"/>
        <v>261.2</v>
      </c>
      <c r="AG111">
        <f t="shared" si="7"/>
        <v>233.1</v>
      </c>
      <c r="AH111">
        <f t="shared" si="8"/>
        <v>227.4</v>
      </c>
      <c r="AI111">
        <f t="shared" si="9"/>
        <v>851.3</v>
      </c>
      <c r="AK111" s="18">
        <f>(Table1[[#This Row],[Food Category]]/$AJ$375)</f>
        <v>0</v>
      </c>
    </row>
    <row r="112" spans="1:37" hidden="1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>
        <f t="shared" si="5"/>
        <v>1433.1999999999998</v>
      </c>
      <c r="AF112">
        <f t="shared" si="6"/>
        <v>258.5</v>
      </c>
      <c r="AG112">
        <f t="shared" si="7"/>
        <v>236.5</v>
      </c>
      <c r="AH112">
        <f t="shared" si="8"/>
        <v>230.89999999999998</v>
      </c>
      <c r="AI112">
        <f t="shared" si="9"/>
        <v>861.4</v>
      </c>
      <c r="AK112" s="18">
        <f>(Table1[[#This Row],[Food Category]]/$AJ$375)</f>
        <v>0</v>
      </c>
    </row>
    <row r="113" spans="1:37" hidden="1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>
        <f t="shared" si="5"/>
        <v>1424.1999999999998</v>
      </c>
      <c r="AF113">
        <f t="shared" si="6"/>
        <v>258.39999999999998</v>
      </c>
      <c r="AG113">
        <f t="shared" si="7"/>
        <v>241.1</v>
      </c>
      <c r="AH113">
        <f t="shared" si="8"/>
        <v>236.2</v>
      </c>
      <c r="AI113">
        <f t="shared" si="9"/>
        <v>751.69999999999993</v>
      </c>
      <c r="AK113" s="18">
        <f>(Table1[[#This Row],[Food Category]]/$AJ$375)</f>
        <v>0</v>
      </c>
    </row>
    <row r="114" spans="1:37" hidden="1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>
        <f t="shared" si="5"/>
        <v>1416.1999999999998</v>
      </c>
      <c r="AF114">
        <f t="shared" si="6"/>
        <v>259.89999999999998</v>
      </c>
      <c r="AG114">
        <f t="shared" si="7"/>
        <v>235.7</v>
      </c>
      <c r="AH114">
        <f t="shared" si="8"/>
        <v>227.89999999999998</v>
      </c>
      <c r="AI114">
        <f t="shared" si="9"/>
        <v>852.3</v>
      </c>
      <c r="AK114" s="18">
        <f>(Table1[[#This Row],[Food Category]]/$AJ$375)</f>
        <v>0</v>
      </c>
    </row>
    <row r="115" spans="1:37" hidden="1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>
        <f t="shared" si="5"/>
        <v>1419.1000000000001</v>
      </c>
      <c r="AF115">
        <f t="shared" si="6"/>
        <v>259</v>
      </c>
      <c r="AG115">
        <f t="shared" si="7"/>
        <v>239.1</v>
      </c>
      <c r="AH115">
        <f t="shared" si="8"/>
        <v>231.7</v>
      </c>
      <c r="AI115">
        <f t="shared" si="9"/>
        <v>864.5</v>
      </c>
      <c r="AK115" s="18">
        <f>(Table1[[#This Row],[Food Category]]/$AJ$375)</f>
        <v>0</v>
      </c>
    </row>
    <row r="116" spans="1:37" hidden="1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>
        <f t="shared" si="5"/>
        <v>1427.1000000000001</v>
      </c>
      <c r="AF116">
        <f t="shared" si="6"/>
        <v>255.6</v>
      </c>
      <c r="AG116">
        <f t="shared" si="7"/>
        <v>242.2</v>
      </c>
      <c r="AH116">
        <f t="shared" si="8"/>
        <v>236.1</v>
      </c>
      <c r="AI116">
        <f t="shared" si="9"/>
        <v>752.4</v>
      </c>
      <c r="AK116" s="18">
        <f>(Table1[[#This Row],[Food Category]]/$AJ$375)</f>
        <v>0</v>
      </c>
    </row>
    <row r="117" spans="1:37" hidden="1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>
        <f t="shared" si="5"/>
        <v>1414.2</v>
      </c>
      <c r="AF117">
        <f t="shared" si="6"/>
        <v>253.39999999999998</v>
      </c>
      <c r="AG117">
        <f t="shared" si="7"/>
        <v>236.8</v>
      </c>
      <c r="AH117">
        <f t="shared" si="8"/>
        <v>227.6</v>
      </c>
      <c r="AI117">
        <f t="shared" si="9"/>
        <v>852.19999999999993</v>
      </c>
      <c r="AK117" s="18">
        <f>(Table1[[#This Row],[Food Category]]/$AJ$375)</f>
        <v>0</v>
      </c>
    </row>
    <row r="118" spans="1:37" hidden="1" x14ac:dyDescent="0.3">
      <c r="A118" t="s">
        <v>30</v>
      </c>
      <c r="B118">
        <v>2016</v>
      </c>
      <c r="C118" t="s">
        <v>37</v>
      </c>
      <c r="D118">
        <v>127.4</v>
      </c>
      <c r="E118">
        <v>135.4</v>
      </c>
      <c r="F118">
        <v>123.4</v>
      </c>
      <c r="G118">
        <v>131.30000000000001</v>
      </c>
      <c r="H118">
        <v>118.2</v>
      </c>
      <c r="I118">
        <v>138.1</v>
      </c>
      <c r="J118">
        <v>134.1</v>
      </c>
      <c r="K118">
        <v>162.69999999999999</v>
      </c>
      <c r="L118">
        <v>105</v>
      </c>
      <c r="M118">
        <v>131.4</v>
      </c>
      <c r="N118">
        <v>125.4</v>
      </c>
      <c r="O118">
        <v>137.4</v>
      </c>
      <c r="P118">
        <v>131.80000000000001</v>
      </c>
      <c r="Q118">
        <v>135.5</v>
      </c>
      <c r="R118">
        <v>135</v>
      </c>
      <c r="S118">
        <v>130.6</v>
      </c>
      <c r="T118">
        <v>134.4</v>
      </c>
      <c r="U118" t="s">
        <v>32</v>
      </c>
      <c r="V118">
        <v>127</v>
      </c>
      <c r="W118">
        <v>128</v>
      </c>
      <c r="X118">
        <v>125.2</v>
      </c>
      <c r="Y118">
        <v>114.4</v>
      </c>
      <c r="Z118">
        <v>123.2</v>
      </c>
      <c r="AA118">
        <v>127.9</v>
      </c>
      <c r="AB118">
        <v>118.4</v>
      </c>
      <c r="AC118">
        <v>121.7</v>
      </c>
      <c r="AD118">
        <v>129</v>
      </c>
      <c r="AE118">
        <f t="shared" si="5"/>
        <v>1446.9000000000003</v>
      </c>
      <c r="AF118">
        <f t="shared" si="6"/>
        <v>254.70000000000002</v>
      </c>
      <c r="AG118">
        <f t="shared" si="7"/>
        <v>243.60000000000002</v>
      </c>
      <c r="AH118">
        <f t="shared" si="8"/>
        <v>237.60000000000002</v>
      </c>
      <c r="AI118">
        <f t="shared" si="9"/>
        <v>755.6</v>
      </c>
      <c r="AK118" s="18">
        <f>(Table1[[#This Row],[Food Category]]/$AJ$375)</f>
        <v>0</v>
      </c>
    </row>
    <row r="119" spans="1:37" hidden="1" x14ac:dyDescent="0.3">
      <c r="A119" t="s">
        <v>33</v>
      </c>
      <c r="B119">
        <v>2016</v>
      </c>
      <c r="C119" t="s">
        <v>37</v>
      </c>
      <c r="D119">
        <v>124.9</v>
      </c>
      <c r="E119">
        <v>139.30000000000001</v>
      </c>
      <c r="F119">
        <v>119.9</v>
      </c>
      <c r="G119">
        <v>130.19999999999999</v>
      </c>
      <c r="H119">
        <v>108.9</v>
      </c>
      <c r="I119">
        <v>131.1</v>
      </c>
      <c r="J119">
        <v>136.80000000000001</v>
      </c>
      <c r="K119">
        <v>176.9</v>
      </c>
      <c r="L119">
        <v>109.1</v>
      </c>
      <c r="M119">
        <v>140.4</v>
      </c>
      <c r="N119">
        <v>121.1</v>
      </c>
      <c r="O119">
        <v>135.9</v>
      </c>
      <c r="P119">
        <v>131.80000000000001</v>
      </c>
      <c r="Q119">
        <v>141.5</v>
      </c>
      <c r="R119">
        <v>126.8</v>
      </c>
      <c r="S119">
        <v>120.5</v>
      </c>
      <c r="T119">
        <v>125.8</v>
      </c>
      <c r="U119">
        <v>125.6</v>
      </c>
      <c r="V119">
        <v>114.6</v>
      </c>
      <c r="W119">
        <v>122.8</v>
      </c>
      <c r="X119">
        <v>120</v>
      </c>
      <c r="Y119">
        <v>110</v>
      </c>
      <c r="Z119">
        <v>119.5</v>
      </c>
      <c r="AA119">
        <v>127.6</v>
      </c>
      <c r="AB119">
        <v>117.6</v>
      </c>
      <c r="AC119">
        <v>118.2</v>
      </c>
      <c r="AD119">
        <v>125.3</v>
      </c>
      <c r="AE119">
        <f t="shared" si="5"/>
        <v>1456.2</v>
      </c>
      <c r="AF119">
        <f t="shared" si="6"/>
        <v>250.1</v>
      </c>
      <c r="AG119">
        <f t="shared" si="7"/>
        <v>237.6</v>
      </c>
      <c r="AH119">
        <f t="shared" si="8"/>
        <v>229.5</v>
      </c>
      <c r="AI119">
        <f t="shared" si="9"/>
        <v>858</v>
      </c>
      <c r="AK119" s="18">
        <f>(Table1[[#This Row],[Food Category]]/$AJ$375)</f>
        <v>0</v>
      </c>
    </row>
    <row r="120" spans="1:37" hidden="1" x14ac:dyDescent="0.3">
      <c r="A120" t="s">
        <v>30</v>
      </c>
      <c r="B120">
        <v>2016</v>
      </c>
      <c r="C120" t="s">
        <v>38</v>
      </c>
      <c r="D120">
        <v>127.6</v>
      </c>
      <c r="E120">
        <v>137.5</v>
      </c>
      <c r="F120">
        <v>124.4</v>
      </c>
      <c r="G120">
        <v>132.4</v>
      </c>
      <c r="H120">
        <v>118.2</v>
      </c>
      <c r="I120">
        <v>138.1</v>
      </c>
      <c r="J120">
        <v>141.80000000000001</v>
      </c>
      <c r="K120">
        <v>166</v>
      </c>
      <c r="L120">
        <v>107.5</v>
      </c>
      <c r="M120">
        <v>132.19999999999999</v>
      </c>
      <c r="N120">
        <v>126.1</v>
      </c>
      <c r="O120">
        <v>138.30000000000001</v>
      </c>
      <c r="P120">
        <v>133.6</v>
      </c>
      <c r="Q120">
        <v>136</v>
      </c>
      <c r="R120">
        <v>135.4</v>
      </c>
      <c r="S120">
        <v>131.1</v>
      </c>
      <c r="T120">
        <v>134.80000000000001</v>
      </c>
      <c r="U120" t="s">
        <v>32</v>
      </c>
      <c r="V120">
        <v>127.4</v>
      </c>
      <c r="W120">
        <v>128.5</v>
      </c>
      <c r="X120">
        <v>125.8</v>
      </c>
      <c r="Y120">
        <v>115.1</v>
      </c>
      <c r="Z120">
        <v>123.6</v>
      </c>
      <c r="AA120">
        <v>129.1</v>
      </c>
      <c r="AB120">
        <v>119.7</v>
      </c>
      <c r="AC120">
        <v>122.5</v>
      </c>
      <c r="AD120">
        <v>130.30000000000001</v>
      </c>
      <c r="AE120">
        <f t="shared" si="5"/>
        <v>1466.8999999999999</v>
      </c>
      <c r="AF120">
        <f t="shared" si="6"/>
        <v>256.8</v>
      </c>
      <c r="AG120">
        <f t="shared" si="7"/>
        <v>245.5</v>
      </c>
      <c r="AH120">
        <f t="shared" si="8"/>
        <v>238.7</v>
      </c>
      <c r="AI120">
        <f t="shared" si="9"/>
        <v>759.8</v>
      </c>
      <c r="AK120" s="18">
        <f>(Table1[[#This Row],[Food Category]]/$AJ$375)</f>
        <v>0</v>
      </c>
    </row>
    <row r="121" spans="1:37" hidden="1" x14ac:dyDescent="0.3">
      <c r="A121" t="s">
        <v>33</v>
      </c>
      <c r="B121">
        <v>2016</v>
      </c>
      <c r="C121" t="s">
        <v>38</v>
      </c>
      <c r="D121">
        <v>125</v>
      </c>
      <c r="E121">
        <v>142.1</v>
      </c>
      <c r="F121">
        <v>127</v>
      </c>
      <c r="G121">
        <v>130.4</v>
      </c>
      <c r="H121">
        <v>109.6</v>
      </c>
      <c r="I121">
        <v>133.5</v>
      </c>
      <c r="J121">
        <v>151.4</v>
      </c>
      <c r="K121">
        <v>182.8</v>
      </c>
      <c r="L121">
        <v>111.1</v>
      </c>
      <c r="M121">
        <v>141.5</v>
      </c>
      <c r="N121">
        <v>121.5</v>
      </c>
      <c r="O121">
        <v>136.30000000000001</v>
      </c>
      <c r="P121">
        <v>134.6</v>
      </c>
      <c r="Q121">
        <v>142.19999999999999</v>
      </c>
      <c r="R121">
        <v>127.2</v>
      </c>
      <c r="S121">
        <v>120.7</v>
      </c>
      <c r="T121">
        <v>126.2</v>
      </c>
      <c r="U121">
        <v>126</v>
      </c>
      <c r="V121">
        <v>115</v>
      </c>
      <c r="W121">
        <v>123.2</v>
      </c>
      <c r="X121">
        <v>120.3</v>
      </c>
      <c r="Y121">
        <v>110.7</v>
      </c>
      <c r="Z121">
        <v>119.8</v>
      </c>
      <c r="AA121">
        <v>128</v>
      </c>
      <c r="AB121">
        <v>118.5</v>
      </c>
      <c r="AC121">
        <v>118.7</v>
      </c>
      <c r="AD121">
        <v>126.6</v>
      </c>
      <c r="AE121">
        <f t="shared" si="5"/>
        <v>1489.3999999999999</v>
      </c>
      <c r="AF121">
        <f t="shared" si="6"/>
        <v>257.39999999999998</v>
      </c>
      <c r="AG121">
        <f t="shared" si="7"/>
        <v>238.8</v>
      </c>
      <c r="AH121">
        <f t="shared" si="8"/>
        <v>230.5</v>
      </c>
      <c r="AI121">
        <f t="shared" si="9"/>
        <v>862.40000000000009</v>
      </c>
      <c r="AK121" s="18">
        <f>(Table1[[#This Row],[Food Category]]/$AJ$375)</f>
        <v>0</v>
      </c>
    </row>
    <row r="122" spans="1:37" hidden="1" x14ac:dyDescent="0.3">
      <c r="A122" t="s">
        <v>34</v>
      </c>
      <c r="B122">
        <v>2016</v>
      </c>
      <c r="C122" t="s">
        <v>38</v>
      </c>
      <c r="D122">
        <v>126.8</v>
      </c>
      <c r="E122">
        <v>139.1</v>
      </c>
      <c r="F122">
        <v>125.4</v>
      </c>
      <c r="G122">
        <v>131.69999999999999</v>
      </c>
      <c r="H122">
        <v>115</v>
      </c>
      <c r="I122">
        <v>136</v>
      </c>
      <c r="J122">
        <v>145.1</v>
      </c>
      <c r="K122">
        <v>171.7</v>
      </c>
      <c r="L122">
        <v>108.7</v>
      </c>
      <c r="M122">
        <v>135.30000000000001</v>
      </c>
      <c r="N122">
        <v>124.2</v>
      </c>
      <c r="O122">
        <v>137.4</v>
      </c>
      <c r="P122">
        <v>134</v>
      </c>
      <c r="Q122">
        <v>137.69999999999999</v>
      </c>
      <c r="R122">
        <v>132.19999999999999</v>
      </c>
      <c r="S122">
        <v>126.8</v>
      </c>
      <c r="T122">
        <v>131.4</v>
      </c>
      <c r="U122">
        <v>126</v>
      </c>
      <c r="V122">
        <v>122.7</v>
      </c>
      <c r="W122">
        <v>126</v>
      </c>
      <c r="X122">
        <v>123.7</v>
      </c>
      <c r="Y122">
        <v>112.8</v>
      </c>
      <c r="Z122">
        <v>121.5</v>
      </c>
      <c r="AA122">
        <v>128.5</v>
      </c>
      <c r="AB122">
        <v>119.2</v>
      </c>
      <c r="AC122">
        <v>120.7</v>
      </c>
      <c r="AD122">
        <v>128.6</v>
      </c>
      <c r="AE122">
        <f t="shared" si="5"/>
        <v>1473.3000000000002</v>
      </c>
      <c r="AF122">
        <f t="shared" si="6"/>
        <v>257.10000000000002</v>
      </c>
      <c r="AG122">
        <f t="shared" si="7"/>
        <v>242.9</v>
      </c>
      <c r="AH122">
        <f t="shared" si="8"/>
        <v>234.3</v>
      </c>
      <c r="AI122">
        <f t="shared" si="9"/>
        <v>874.5</v>
      </c>
      <c r="AK122" s="18">
        <f>(Table1[[#This Row],[Food Category]]/$AJ$375)</f>
        <v>0</v>
      </c>
    </row>
    <row r="123" spans="1:37" hidden="1" x14ac:dyDescent="0.3">
      <c r="A123" t="s">
        <v>30</v>
      </c>
      <c r="B123">
        <v>2016</v>
      </c>
      <c r="C123" t="s">
        <v>39</v>
      </c>
      <c r="D123">
        <v>128.6</v>
      </c>
      <c r="E123">
        <v>138.6</v>
      </c>
      <c r="F123">
        <v>126.6</v>
      </c>
      <c r="G123">
        <v>133.6</v>
      </c>
      <c r="H123">
        <v>118.6</v>
      </c>
      <c r="I123">
        <v>137.4</v>
      </c>
      <c r="J123">
        <v>152.5</v>
      </c>
      <c r="K123">
        <v>169.2</v>
      </c>
      <c r="L123">
        <v>108.8</v>
      </c>
      <c r="M123">
        <v>133.1</v>
      </c>
      <c r="N123">
        <v>126.4</v>
      </c>
      <c r="O123">
        <v>139.19999999999999</v>
      </c>
      <c r="P123">
        <v>136</v>
      </c>
      <c r="Q123">
        <v>137.19999999999999</v>
      </c>
      <c r="R123">
        <v>136.30000000000001</v>
      </c>
      <c r="S123">
        <v>131.6</v>
      </c>
      <c r="T123">
        <v>135.6</v>
      </c>
      <c r="U123" t="s">
        <v>32</v>
      </c>
      <c r="V123">
        <v>128</v>
      </c>
      <c r="W123">
        <v>129.30000000000001</v>
      </c>
      <c r="X123">
        <v>126.2</v>
      </c>
      <c r="Y123">
        <v>116.3</v>
      </c>
      <c r="Z123">
        <v>124.1</v>
      </c>
      <c r="AA123">
        <v>130.19999999999999</v>
      </c>
      <c r="AB123">
        <v>119.9</v>
      </c>
      <c r="AC123">
        <v>123.3</v>
      </c>
      <c r="AD123">
        <v>131.9</v>
      </c>
      <c r="AE123">
        <f t="shared" si="5"/>
        <v>1488.3999999999999</v>
      </c>
      <c r="AF123">
        <f t="shared" si="6"/>
        <v>260.2</v>
      </c>
      <c r="AG123">
        <f t="shared" si="7"/>
        <v>246.10000000000002</v>
      </c>
      <c r="AH123">
        <f t="shared" si="8"/>
        <v>240.39999999999998</v>
      </c>
      <c r="AI123">
        <f t="shared" si="9"/>
        <v>766</v>
      </c>
      <c r="AK123" s="18">
        <f>(Table1[[#This Row],[Food Category]]/$AJ$375)</f>
        <v>0</v>
      </c>
    </row>
    <row r="124" spans="1:37" hidden="1" x14ac:dyDescent="0.3">
      <c r="A124" t="s">
        <v>33</v>
      </c>
      <c r="B124">
        <v>2016</v>
      </c>
      <c r="C124" t="s">
        <v>39</v>
      </c>
      <c r="D124">
        <v>125.9</v>
      </c>
      <c r="E124">
        <v>143.9</v>
      </c>
      <c r="F124">
        <v>130.9</v>
      </c>
      <c r="G124">
        <v>131</v>
      </c>
      <c r="H124">
        <v>110.2</v>
      </c>
      <c r="I124">
        <v>135.5</v>
      </c>
      <c r="J124">
        <v>173.7</v>
      </c>
      <c r="K124">
        <v>184.4</v>
      </c>
      <c r="L124">
        <v>112</v>
      </c>
      <c r="M124">
        <v>142.80000000000001</v>
      </c>
      <c r="N124">
        <v>121.6</v>
      </c>
      <c r="O124">
        <v>136.9</v>
      </c>
      <c r="P124">
        <v>138.19999999999999</v>
      </c>
      <c r="Q124">
        <v>142.69999999999999</v>
      </c>
      <c r="R124">
        <v>127.6</v>
      </c>
      <c r="S124">
        <v>121.1</v>
      </c>
      <c r="T124">
        <v>126.6</v>
      </c>
      <c r="U124">
        <v>125.5</v>
      </c>
      <c r="V124">
        <v>115.5</v>
      </c>
      <c r="W124">
        <v>123.2</v>
      </c>
      <c r="X124">
        <v>120.6</v>
      </c>
      <c r="Y124">
        <v>112.3</v>
      </c>
      <c r="Z124">
        <v>119.9</v>
      </c>
      <c r="AA124">
        <v>129.30000000000001</v>
      </c>
      <c r="AB124">
        <v>118.8</v>
      </c>
      <c r="AC124">
        <v>119.6</v>
      </c>
      <c r="AD124">
        <v>128.1</v>
      </c>
      <c r="AE124">
        <f t="shared" si="5"/>
        <v>1525.1000000000001</v>
      </c>
      <c r="AF124">
        <f t="shared" si="6"/>
        <v>261.89999999999998</v>
      </c>
      <c r="AG124">
        <f t="shared" si="7"/>
        <v>239.39999999999998</v>
      </c>
      <c r="AH124">
        <f t="shared" si="8"/>
        <v>232.2</v>
      </c>
      <c r="AI124">
        <f t="shared" si="9"/>
        <v>866.9</v>
      </c>
      <c r="AK124" s="18">
        <f>(Table1[[#This Row],[Food Category]]/$AJ$375)</f>
        <v>0</v>
      </c>
    </row>
    <row r="125" spans="1:37" hidden="1" x14ac:dyDescent="0.3">
      <c r="A125" t="s">
        <v>34</v>
      </c>
      <c r="B125">
        <v>2016</v>
      </c>
      <c r="C125" t="s">
        <v>39</v>
      </c>
      <c r="D125">
        <v>127.7</v>
      </c>
      <c r="E125">
        <v>140.5</v>
      </c>
      <c r="F125">
        <v>128.30000000000001</v>
      </c>
      <c r="G125">
        <v>132.6</v>
      </c>
      <c r="H125">
        <v>115.5</v>
      </c>
      <c r="I125">
        <v>136.5</v>
      </c>
      <c r="J125">
        <v>159.69999999999999</v>
      </c>
      <c r="K125">
        <v>174.3</v>
      </c>
      <c r="L125">
        <v>109.9</v>
      </c>
      <c r="M125">
        <v>136.30000000000001</v>
      </c>
      <c r="N125">
        <v>124.4</v>
      </c>
      <c r="O125">
        <v>138.1</v>
      </c>
      <c r="P125">
        <v>136.80000000000001</v>
      </c>
      <c r="Q125">
        <v>138.69999999999999</v>
      </c>
      <c r="R125">
        <v>132.9</v>
      </c>
      <c r="S125">
        <v>127.2</v>
      </c>
      <c r="T125">
        <v>132</v>
      </c>
      <c r="U125">
        <v>125.5</v>
      </c>
      <c r="V125">
        <v>123.3</v>
      </c>
      <c r="W125">
        <v>126.4</v>
      </c>
      <c r="X125">
        <v>124.1</v>
      </c>
      <c r="Y125">
        <v>114.2</v>
      </c>
      <c r="Z125">
        <v>121.7</v>
      </c>
      <c r="AA125">
        <v>129.69999999999999</v>
      </c>
      <c r="AB125">
        <v>119.4</v>
      </c>
      <c r="AC125">
        <v>121.5</v>
      </c>
      <c r="AD125">
        <v>130.1</v>
      </c>
      <c r="AE125">
        <f t="shared" si="5"/>
        <v>1499.7</v>
      </c>
      <c r="AF125">
        <f t="shared" si="6"/>
        <v>260.89999999999998</v>
      </c>
      <c r="AG125">
        <f t="shared" si="7"/>
        <v>243.5</v>
      </c>
      <c r="AH125">
        <f t="shared" si="8"/>
        <v>235.9</v>
      </c>
      <c r="AI125">
        <f t="shared" si="9"/>
        <v>879.7</v>
      </c>
      <c r="AK125" s="18">
        <f>(Table1[[#This Row],[Food Category]]/$AJ$375)</f>
        <v>0</v>
      </c>
    </row>
    <row r="126" spans="1:37" hidden="1" x14ac:dyDescent="0.3">
      <c r="A126" t="s">
        <v>30</v>
      </c>
      <c r="B126">
        <v>2016</v>
      </c>
      <c r="C126" t="s">
        <v>40</v>
      </c>
      <c r="D126">
        <v>129.30000000000001</v>
      </c>
      <c r="E126">
        <v>139.5</v>
      </c>
      <c r="F126">
        <v>129.6</v>
      </c>
      <c r="G126">
        <v>134.5</v>
      </c>
      <c r="H126">
        <v>119.5</v>
      </c>
      <c r="I126">
        <v>138.5</v>
      </c>
      <c r="J126">
        <v>158.19999999999999</v>
      </c>
      <c r="K126">
        <v>171.8</v>
      </c>
      <c r="L126">
        <v>110.3</v>
      </c>
      <c r="M126">
        <v>134.30000000000001</v>
      </c>
      <c r="N126">
        <v>127.3</v>
      </c>
      <c r="O126">
        <v>139.9</v>
      </c>
      <c r="P126">
        <v>137.6</v>
      </c>
      <c r="Q126">
        <v>138</v>
      </c>
      <c r="R126">
        <v>137.19999999999999</v>
      </c>
      <c r="S126">
        <v>132.19999999999999</v>
      </c>
      <c r="T126">
        <v>136.5</v>
      </c>
      <c r="U126" t="s">
        <v>32</v>
      </c>
      <c r="V126">
        <v>128.19999999999999</v>
      </c>
      <c r="W126">
        <v>130</v>
      </c>
      <c r="X126">
        <v>126.7</v>
      </c>
      <c r="Y126">
        <v>116.4</v>
      </c>
      <c r="Z126">
        <v>125.2</v>
      </c>
      <c r="AA126">
        <v>130.80000000000001</v>
      </c>
      <c r="AB126">
        <v>120.9</v>
      </c>
      <c r="AC126">
        <v>123.8</v>
      </c>
      <c r="AD126">
        <v>133</v>
      </c>
      <c r="AE126">
        <f t="shared" si="5"/>
        <v>1506.1999999999998</v>
      </c>
      <c r="AF126">
        <f t="shared" si="6"/>
        <v>264.10000000000002</v>
      </c>
      <c r="AG126">
        <f t="shared" si="7"/>
        <v>247.60000000000002</v>
      </c>
      <c r="AH126">
        <f t="shared" si="8"/>
        <v>241.60000000000002</v>
      </c>
      <c r="AI126">
        <f t="shared" si="9"/>
        <v>769.4</v>
      </c>
      <c r="AK126" s="18">
        <f>(Table1[[#This Row],[Food Category]]/$AJ$375)</f>
        <v>0</v>
      </c>
    </row>
    <row r="127" spans="1:37" hidden="1" x14ac:dyDescent="0.3">
      <c r="A127" t="s">
        <v>33</v>
      </c>
      <c r="B127">
        <v>2016</v>
      </c>
      <c r="C127" t="s">
        <v>40</v>
      </c>
      <c r="D127">
        <v>126.8</v>
      </c>
      <c r="E127">
        <v>144.19999999999999</v>
      </c>
      <c r="F127">
        <v>136.6</v>
      </c>
      <c r="G127">
        <v>131.80000000000001</v>
      </c>
      <c r="H127">
        <v>111</v>
      </c>
      <c r="I127">
        <v>137</v>
      </c>
      <c r="J127">
        <v>179.5</v>
      </c>
      <c r="K127">
        <v>188.4</v>
      </c>
      <c r="L127">
        <v>113.3</v>
      </c>
      <c r="M127">
        <v>143.9</v>
      </c>
      <c r="N127">
        <v>121.7</v>
      </c>
      <c r="O127">
        <v>137.5</v>
      </c>
      <c r="P127">
        <v>139.80000000000001</v>
      </c>
      <c r="Q127">
        <v>142.9</v>
      </c>
      <c r="R127">
        <v>127.9</v>
      </c>
      <c r="S127">
        <v>121.1</v>
      </c>
      <c r="T127">
        <v>126.9</v>
      </c>
      <c r="U127">
        <v>126.4</v>
      </c>
      <c r="V127">
        <v>115.5</v>
      </c>
      <c r="W127">
        <v>123.5</v>
      </c>
      <c r="X127">
        <v>120.9</v>
      </c>
      <c r="Y127">
        <v>111.7</v>
      </c>
      <c r="Z127">
        <v>120.3</v>
      </c>
      <c r="AA127">
        <v>130.80000000000001</v>
      </c>
      <c r="AB127">
        <v>120</v>
      </c>
      <c r="AC127">
        <v>119.9</v>
      </c>
      <c r="AD127">
        <v>129</v>
      </c>
      <c r="AE127">
        <f t="shared" si="5"/>
        <v>1543.1</v>
      </c>
      <c r="AF127">
        <f t="shared" si="6"/>
        <v>268.39999999999998</v>
      </c>
      <c r="AG127">
        <f t="shared" si="7"/>
        <v>240.9</v>
      </c>
      <c r="AH127">
        <f t="shared" si="8"/>
        <v>232</v>
      </c>
      <c r="AI127">
        <f t="shared" si="9"/>
        <v>868.9</v>
      </c>
      <c r="AK127" s="18">
        <f>(Table1[[#This Row],[Food Category]]/$AJ$375)</f>
        <v>0</v>
      </c>
    </row>
    <row r="128" spans="1:37" hidden="1" x14ac:dyDescent="0.3">
      <c r="A128" t="s">
        <v>34</v>
      </c>
      <c r="B128">
        <v>2016</v>
      </c>
      <c r="C128" t="s">
        <v>40</v>
      </c>
      <c r="D128">
        <v>128.5</v>
      </c>
      <c r="E128">
        <v>141.19999999999999</v>
      </c>
      <c r="F128">
        <v>132.30000000000001</v>
      </c>
      <c r="G128">
        <v>133.5</v>
      </c>
      <c r="H128">
        <v>116.4</v>
      </c>
      <c r="I128">
        <v>137.80000000000001</v>
      </c>
      <c r="J128">
        <v>165.4</v>
      </c>
      <c r="K128">
        <v>177.4</v>
      </c>
      <c r="L128">
        <v>111.3</v>
      </c>
      <c r="M128">
        <v>137.5</v>
      </c>
      <c r="N128">
        <v>125</v>
      </c>
      <c r="O128">
        <v>138.80000000000001</v>
      </c>
      <c r="P128">
        <v>138.4</v>
      </c>
      <c r="Q128">
        <v>139.30000000000001</v>
      </c>
      <c r="R128">
        <v>133.5</v>
      </c>
      <c r="S128">
        <v>127.6</v>
      </c>
      <c r="T128">
        <v>132.69999999999999</v>
      </c>
      <c r="U128">
        <v>126.4</v>
      </c>
      <c r="V128">
        <v>123.4</v>
      </c>
      <c r="W128">
        <v>126.9</v>
      </c>
      <c r="X128">
        <v>124.5</v>
      </c>
      <c r="Y128">
        <v>113.9</v>
      </c>
      <c r="Z128">
        <v>122.4</v>
      </c>
      <c r="AA128">
        <v>130.80000000000001</v>
      </c>
      <c r="AB128">
        <v>120.5</v>
      </c>
      <c r="AC128">
        <v>121.9</v>
      </c>
      <c r="AD128">
        <v>131.1</v>
      </c>
      <c r="AE128">
        <f t="shared" ref="AE128:AE192" si="10">SUM(D128,E128,H128,I128,J128,K128,L128,M128,N128,O128,P128)</f>
        <v>1517.7</v>
      </c>
      <c r="AF128">
        <f t="shared" ref="AF128:AF192" si="11">SUM(F128,G128)</f>
        <v>265.8</v>
      </c>
      <c r="AG128">
        <f t="shared" ref="AG128:AG192" si="12">SUM(X128,AB128)</f>
        <v>245</v>
      </c>
      <c r="AH128">
        <f t="shared" ref="AH128:AH192" si="13">SUM(Z128,Y128)</f>
        <v>236.3</v>
      </c>
      <c r="AI128">
        <f t="shared" ref="AI128:AI192" si="14">SUM(Q128,U128,V128,W128,Y128,AC128,AD128)</f>
        <v>882.9</v>
      </c>
      <c r="AK128" s="18">
        <f>(Table1[[#This Row],[Food Category]]/$AJ$375)</f>
        <v>0</v>
      </c>
    </row>
    <row r="129" spans="1:37" hidden="1" x14ac:dyDescent="0.3">
      <c r="A129" t="s">
        <v>30</v>
      </c>
      <c r="B129">
        <v>2016</v>
      </c>
      <c r="C129" t="s">
        <v>41</v>
      </c>
      <c r="D129">
        <v>130.1</v>
      </c>
      <c r="E129">
        <v>138.80000000000001</v>
      </c>
      <c r="F129">
        <v>130.30000000000001</v>
      </c>
      <c r="G129">
        <v>135.30000000000001</v>
      </c>
      <c r="H129">
        <v>119.9</v>
      </c>
      <c r="I129">
        <v>140.19999999999999</v>
      </c>
      <c r="J129">
        <v>156.9</v>
      </c>
      <c r="K129">
        <v>172.2</v>
      </c>
      <c r="L129">
        <v>112.1</v>
      </c>
      <c r="M129">
        <v>134.9</v>
      </c>
      <c r="N129">
        <v>128.1</v>
      </c>
      <c r="O129">
        <v>140.69999999999999</v>
      </c>
      <c r="P129">
        <v>138</v>
      </c>
      <c r="Q129">
        <v>138.9</v>
      </c>
      <c r="R129">
        <v>137.80000000000001</v>
      </c>
      <c r="S129">
        <v>133</v>
      </c>
      <c r="T129">
        <v>137.1</v>
      </c>
      <c r="U129" t="s">
        <v>32</v>
      </c>
      <c r="V129">
        <v>129.1</v>
      </c>
      <c r="W129">
        <v>130.6</v>
      </c>
      <c r="X129">
        <v>127</v>
      </c>
      <c r="Y129">
        <v>116</v>
      </c>
      <c r="Z129">
        <v>125.5</v>
      </c>
      <c r="AA129">
        <v>131.9</v>
      </c>
      <c r="AB129">
        <v>122</v>
      </c>
      <c r="AC129">
        <v>124.2</v>
      </c>
      <c r="AD129">
        <v>133.5</v>
      </c>
      <c r="AE129">
        <f t="shared" si="10"/>
        <v>1511.8999999999999</v>
      </c>
      <c r="AF129">
        <f t="shared" si="11"/>
        <v>265.60000000000002</v>
      </c>
      <c r="AG129">
        <f t="shared" si="12"/>
        <v>249</v>
      </c>
      <c r="AH129">
        <f t="shared" si="13"/>
        <v>241.5</v>
      </c>
      <c r="AI129">
        <f t="shared" si="14"/>
        <v>772.30000000000007</v>
      </c>
      <c r="AK129" s="18">
        <f>(Table1[[#This Row],[Food Category]]/$AJ$375)</f>
        <v>0</v>
      </c>
    </row>
    <row r="130" spans="1:37" hidden="1" x14ac:dyDescent="0.3">
      <c r="A130" t="s">
        <v>33</v>
      </c>
      <c r="B130">
        <v>2016</v>
      </c>
      <c r="C130" t="s">
        <v>41</v>
      </c>
      <c r="D130">
        <v>127.6</v>
      </c>
      <c r="E130">
        <v>140.30000000000001</v>
      </c>
      <c r="F130">
        <v>133.69999999999999</v>
      </c>
      <c r="G130">
        <v>132.19999999999999</v>
      </c>
      <c r="H130">
        <v>111.8</v>
      </c>
      <c r="I130">
        <v>135.80000000000001</v>
      </c>
      <c r="J130">
        <v>163.5</v>
      </c>
      <c r="K130">
        <v>182.3</v>
      </c>
      <c r="L130">
        <v>114.6</v>
      </c>
      <c r="M130">
        <v>144.6</v>
      </c>
      <c r="N130">
        <v>121.9</v>
      </c>
      <c r="O130">
        <v>138.1</v>
      </c>
      <c r="P130">
        <v>137.6</v>
      </c>
      <c r="Q130">
        <v>143.6</v>
      </c>
      <c r="R130">
        <v>128.30000000000001</v>
      </c>
      <c r="S130">
        <v>121.4</v>
      </c>
      <c r="T130">
        <v>127.3</v>
      </c>
      <c r="U130">
        <v>127.3</v>
      </c>
      <c r="V130">
        <v>114.7</v>
      </c>
      <c r="W130">
        <v>123.9</v>
      </c>
      <c r="X130">
        <v>121.2</v>
      </c>
      <c r="Y130">
        <v>110.4</v>
      </c>
      <c r="Z130">
        <v>120.6</v>
      </c>
      <c r="AA130">
        <v>131.5</v>
      </c>
      <c r="AB130">
        <v>120.9</v>
      </c>
      <c r="AC130">
        <v>119.9</v>
      </c>
      <c r="AD130">
        <v>128.4</v>
      </c>
      <c r="AE130">
        <f t="shared" si="10"/>
        <v>1518.1</v>
      </c>
      <c r="AF130">
        <f t="shared" si="11"/>
        <v>265.89999999999998</v>
      </c>
      <c r="AG130">
        <f t="shared" si="12"/>
        <v>242.10000000000002</v>
      </c>
      <c r="AH130">
        <f t="shared" si="13"/>
        <v>231</v>
      </c>
      <c r="AI130">
        <f t="shared" si="14"/>
        <v>868.19999999999993</v>
      </c>
      <c r="AK130" s="18">
        <f>(Table1[[#This Row],[Food Category]]/$AJ$375)</f>
        <v>0</v>
      </c>
    </row>
    <row r="131" spans="1:37" hidden="1" x14ac:dyDescent="0.3">
      <c r="A131" t="s">
        <v>34</v>
      </c>
      <c r="B131">
        <v>2016</v>
      </c>
      <c r="C131" t="s">
        <v>41</v>
      </c>
      <c r="D131">
        <v>129.30000000000001</v>
      </c>
      <c r="E131">
        <v>139.30000000000001</v>
      </c>
      <c r="F131">
        <v>131.6</v>
      </c>
      <c r="G131">
        <v>134.1</v>
      </c>
      <c r="H131">
        <v>116.9</v>
      </c>
      <c r="I131">
        <v>138.1</v>
      </c>
      <c r="J131">
        <v>159.1</v>
      </c>
      <c r="K131">
        <v>175.6</v>
      </c>
      <c r="L131">
        <v>112.9</v>
      </c>
      <c r="M131">
        <v>138.1</v>
      </c>
      <c r="N131">
        <v>125.5</v>
      </c>
      <c r="O131">
        <v>139.5</v>
      </c>
      <c r="P131">
        <v>137.9</v>
      </c>
      <c r="Q131">
        <v>140.19999999999999</v>
      </c>
      <c r="R131">
        <v>134.1</v>
      </c>
      <c r="S131">
        <v>128.19999999999999</v>
      </c>
      <c r="T131">
        <v>133.19999999999999</v>
      </c>
      <c r="U131">
        <v>127.3</v>
      </c>
      <c r="V131">
        <v>123.6</v>
      </c>
      <c r="W131">
        <v>127.4</v>
      </c>
      <c r="X131">
        <v>124.8</v>
      </c>
      <c r="Y131">
        <v>113.1</v>
      </c>
      <c r="Z131">
        <v>122.7</v>
      </c>
      <c r="AA131">
        <v>131.69999999999999</v>
      </c>
      <c r="AB131">
        <v>121.5</v>
      </c>
      <c r="AC131">
        <v>122.1</v>
      </c>
      <c r="AD131">
        <v>131.1</v>
      </c>
      <c r="AE131">
        <f t="shared" si="10"/>
        <v>1512.2</v>
      </c>
      <c r="AF131">
        <f t="shared" si="11"/>
        <v>265.7</v>
      </c>
      <c r="AG131">
        <f t="shared" si="12"/>
        <v>246.3</v>
      </c>
      <c r="AH131">
        <f t="shared" si="13"/>
        <v>235.8</v>
      </c>
      <c r="AI131">
        <f t="shared" si="14"/>
        <v>884.80000000000007</v>
      </c>
      <c r="AK131" s="18">
        <f>(Table1[[#This Row],[Food Category]]/$AJ$375)</f>
        <v>0</v>
      </c>
    </row>
    <row r="132" spans="1:37" hidden="1" x14ac:dyDescent="0.3">
      <c r="A132" t="s">
        <v>30</v>
      </c>
      <c r="B132">
        <v>2016</v>
      </c>
      <c r="C132" t="s">
        <v>42</v>
      </c>
      <c r="D132">
        <v>130.80000000000001</v>
      </c>
      <c r="E132">
        <v>138.19999999999999</v>
      </c>
      <c r="F132">
        <v>130.5</v>
      </c>
      <c r="G132">
        <v>135.5</v>
      </c>
      <c r="H132">
        <v>120.2</v>
      </c>
      <c r="I132">
        <v>139.19999999999999</v>
      </c>
      <c r="J132">
        <v>149.5</v>
      </c>
      <c r="K132">
        <v>170.4</v>
      </c>
      <c r="L132">
        <v>113.1</v>
      </c>
      <c r="M132">
        <v>135.80000000000001</v>
      </c>
      <c r="N132">
        <v>128.80000000000001</v>
      </c>
      <c r="O132">
        <v>141.5</v>
      </c>
      <c r="P132">
        <v>137.19999999999999</v>
      </c>
      <c r="Q132">
        <v>139.9</v>
      </c>
      <c r="R132">
        <v>138.5</v>
      </c>
      <c r="S132">
        <v>133.5</v>
      </c>
      <c r="T132">
        <v>137.80000000000001</v>
      </c>
      <c r="U132" t="s">
        <v>32</v>
      </c>
      <c r="V132">
        <v>129.69999999999999</v>
      </c>
      <c r="W132">
        <v>131.1</v>
      </c>
      <c r="X132">
        <v>127.8</v>
      </c>
      <c r="Y132">
        <v>117</v>
      </c>
      <c r="Z132">
        <v>125.7</v>
      </c>
      <c r="AA132">
        <v>132.19999999999999</v>
      </c>
      <c r="AB132">
        <v>122.8</v>
      </c>
      <c r="AC132">
        <v>124.9</v>
      </c>
      <c r="AD132">
        <v>133.4</v>
      </c>
      <c r="AE132">
        <f t="shared" si="10"/>
        <v>1504.7</v>
      </c>
      <c r="AF132">
        <f t="shared" si="11"/>
        <v>266</v>
      </c>
      <c r="AG132">
        <f t="shared" si="12"/>
        <v>250.6</v>
      </c>
      <c r="AH132">
        <f t="shared" si="13"/>
        <v>242.7</v>
      </c>
      <c r="AI132">
        <f t="shared" si="14"/>
        <v>776</v>
      </c>
      <c r="AK132" s="18">
        <f>(Table1[[#This Row],[Food Category]]/$AJ$375)</f>
        <v>0</v>
      </c>
    </row>
    <row r="133" spans="1:37" hidden="1" x14ac:dyDescent="0.3">
      <c r="A133" t="s">
        <v>33</v>
      </c>
      <c r="B133">
        <v>2016</v>
      </c>
      <c r="C133" t="s">
        <v>42</v>
      </c>
      <c r="D133">
        <v>128.1</v>
      </c>
      <c r="E133">
        <v>137.69999999999999</v>
      </c>
      <c r="F133">
        <v>130.6</v>
      </c>
      <c r="G133">
        <v>132.6</v>
      </c>
      <c r="H133">
        <v>111.9</v>
      </c>
      <c r="I133">
        <v>132.5</v>
      </c>
      <c r="J133">
        <v>152.9</v>
      </c>
      <c r="K133">
        <v>173.6</v>
      </c>
      <c r="L133">
        <v>115.1</v>
      </c>
      <c r="M133">
        <v>144.80000000000001</v>
      </c>
      <c r="N133">
        <v>122.1</v>
      </c>
      <c r="O133">
        <v>138.80000000000001</v>
      </c>
      <c r="P133">
        <v>135.69999999999999</v>
      </c>
      <c r="Q133">
        <v>143.9</v>
      </c>
      <c r="R133">
        <v>128.69999999999999</v>
      </c>
      <c r="S133">
        <v>121.6</v>
      </c>
      <c r="T133">
        <v>127.7</v>
      </c>
      <c r="U133">
        <v>127.9</v>
      </c>
      <c r="V133">
        <v>114.8</v>
      </c>
      <c r="W133">
        <v>124.3</v>
      </c>
      <c r="X133">
        <v>121.4</v>
      </c>
      <c r="Y133">
        <v>111.8</v>
      </c>
      <c r="Z133">
        <v>120.8</v>
      </c>
      <c r="AA133">
        <v>131.6</v>
      </c>
      <c r="AB133">
        <v>121.2</v>
      </c>
      <c r="AC133">
        <v>120.5</v>
      </c>
      <c r="AD133">
        <v>128</v>
      </c>
      <c r="AE133">
        <f t="shared" si="10"/>
        <v>1493.1999999999998</v>
      </c>
      <c r="AF133">
        <f t="shared" si="11"/>
        <v>263.2</v>
      </c>
      <c r="AG133">
        <f t="shared" si="12"/>
        <v>242.60000000000002</v>
      </c>
      <c r="AH133">
        <f t="shared" si="13"/>
        <v>232.6</v>
      </c>
      <c r="AI133">
        <f t="shared" si="14"/>
        <v>871.2</v>
      </c>
      <c r="AK133" s="18">
        <f>(Table1[[#This Row],[Food Category]]/$AJ$375)</f>
        <v>0</v>
      </c>
    </row>
    <row r="134" spans="1:37" hidden="1" x14ac:dyDescent="0.3">
      <c r="A134" t="s">
        <v>34</v>
      </c>
      <c r="B134">
        <v>2016</v>
      </c>
      <c r="C134" t="s">
        <v>42</v>
      </c>
      <c r="D134">
        <v>129.9</v>
      </c>
      <c r="E134">
        <v>138</v>
      </c>
      <c r="F134">
        <v>130.5</v>
      </c>
      <c r="G134">
        <v>134.4</v>
      </c>
      <c r="H134">
        <v>117.2</v>
      </c>
      <c r="I134">
        <v>136.1</v>
      </c>
      <c r="J134">
        <v>150.69999999999999</v>
      </c>
      <c r="K134">
        <v>171.5</v>
      </c>
      <c r="L134">
        <v>113.8</v>
      </c>
      <c r="M134">
        <v>138.80000000000001</v>
      </c>
      <c r="N134">
        <v>126</v>
      </c>
      <c r="O134">
        <v>140.19999999999999</v>
      </c>
      <c r="P134">
        <v>136.6</v>
      </c>
      <c r="Q134">
        <v>141</v>
      </c>
      <c r="R134">
        <v>134.6</v>
      </c>
      <c r="S134">
        <v>128.6</v>
      </c>
      <c r="T134">
        <v>133.80000000000001</v>
      </c>
      <c r="U134">
        <v>127.9</v>
      </c>
      <c r="V134">
        <v>124.1</v>
      </c>
      <c r="W134">
        <v>127.9</v>
      </c>
      <c r="X134">
        <v>125.4</v>
      </c>
      <c r="Y134">
        <v>114.3</v>
      </c>
      <c r="Z134">
        <v>122.9</v>
      </c>
      <c r="AA134">
        <v>131.80000000000001</v>
      </c>
      <c r="AB134">
        <v>122.1</v>
      </c>
      <c r="AC134">
        <v>122.8</v>
      </c>
      <c r="AD134">
        <v>130.9</v>
      </c>
      <c r="AE134">
        <f t="shared" si="10"/>
        <v>1498.7999999999997</v>
      </c>
      <c r="AF134">
        <f t="shared" si="11"/>
        <v>264.89999999999998</v>
      </c>
      <c r="AG134">
        <f t="shared" si="12"/>
        <v>247.5</v>
      </c>
      <c r="AH134">
        <f t="shared" si="13"/>
        <v>237.2</v>
      </c>
      <c r="AI134">
        <f t="shared" si="14"/>
        <v>888.89999999999986</v>
      </c>
      <c r="AK134" s="18">
        <f>(Table1[[#This Row],[Food Category]]/$AJ$375)</f>
        <v>0</v>
      </c>
    </row>
    <row r="135" spans="1:37" hidden="1" x14ac:dyDescent="0.3">
      <c r="A135" t="s">
        <v>30</v>
      </c>
      <c r="B135">
        <v>2016</v>
      </c>
      <c r="C135" t="s">
        <v>43</v>
      </c>
      <c r="D135">
        <v>131.30000000000001</v>
      </c>
      <c r="E135">
        <v>137.6</v>
      </c>
      <c r="F135">
        <v>130.1</v>
      </c>
      <c r="G135">
        <v>136</v>
      </c>
      <c r="H135">
        <v>120.8</v>
      </c>
      <c r="I135">
        <v>138.4</v>
      </c>
      <c r="J135">
        <v>149.19999999999999</v>
      </c>
      <c r="K135">
        <v>170.2</v>
      </c>
      <c r="L135">
        <v>113.4</v>
      </c>
      <c r="M135">
        <v>136.30000000000001</v>
      </c>
      <c r="N135">
        <v>128.69999999999999</v>
      </c>
      <c r="O135">
        <v>142.4</v>
      </c>
      <c r="P135">
        <v>137.4</v>
      </c>
      <c r="Q135">
        <v>140.9</v>
      </c>
      <c r="R135">
        <v>139.6</v>
      </c>
      <c r="S135">
        <v>134.30000000000001</v>
      </c>
      <c r="T135">
        <v>138.80000000000001</v>
      </c>
      <c r="U135" t="s">
        <v>32</v>
      </c>
      <c r="V135">
        <v>129.80000000000001</v>
      </c>
      <c r="W135">
        <v>131.80000000000001</v>
      </c>
      <c r="X135">
        <v>128.69999999999999</v>
      </c>
      <c r="Y135">
        <v>117.8</v>
      </c>
      <c r="Z135">
        <v>126.5</v>
      </c>
      <c r="AA135">
        <v>133</v>
      </c>
      <c r="AB135">
        <v>123</v>
      </c>
      <c r="AC135">
        <v>125.7</v>
      </c>
      <c r="AD135">
        <v>133.80000000000001</v>
      </c>
      <c r="AE135">
        <f t="shared" si="10"/>
        <v>1505.7000000000003</v>
      </c>
      <c r="AF135">
        <f t="shared" si="11"/>
        <v>266.10000000000002</v>
      </c>
      <c r="AG135">
        <f t="shared" si="12"/>
        <v>251.7</v>
      </c>
      <c r="AH135">
        <f t="shared" si="13"/>
        <v>244.3</v>
      </c>
      <c r="AI135">
        <f t="shared" si="14"/>
        <v>779.80000000000018</v>
      </c>
      <c r="AK135" s="18">
        <f>(Table1[[#This Row],[Food Category]]/$AJ$375)</f>
        <v>0</v>
      </c>
    </row>
    <row r="136" spans="1:37" hidden="1" x14ac:dyDescent="0.3">
      <c r="A136" t="s">
        <v>33</v>
      </c>
      <c r="B136">
        <v>2016</v>
      </c>
      <c r="C136" t="s">
        <v>43</v>
      </c>
      <c r="D136">
        <v>128.69999999999999</v>
      </c>
      <c r="E136">
        <v>138.4</v>
      </c>
      <c r="F136">
        <v>130.30000000000001</v>
      </c>
      <c r="G136">
        <v>132.69999999999999</v>
      </c>
      <c r="H136">
        <v>112.5</v>
      </c>
      <c r="I136">
        <v>130.4</v>
      </c>
      <c r="J136">
        <v>155.1</v>
      </c>
      <c r="K136">
        <v>175.7</v>
      </c>
      <c r="L136">
        <v>115.4</v>
      </c>
      <c r="M136">
        <v>145.30000000000001</v>
      </c>
      <c r="N136">
        <v>122.5</v>
      </c>
      <c r="O136">
        <v>139.6</v>
      </c>
      <c r="P136">
        <v>136.30000000000001</v>
      </c>
      <c r="Q136">
        <v>144.30000000000001</v>
      </c>
      <c r="R136">
        <v>129.1</v>
      </c>
      <c r="S136">
        <v>121.9</v>
      </c>
      <c r="T136">
        <v>128</v>
      </c>
      <c r="U136">
        <v>128.69999999999999</v>
      </c>
      <c r="V136">
        <v>115.2</v>
      </c>
      <c r="W136">
        <v>124.5</v>
      </c>
      <c r="X136">
        <v>121.8</v>
      </c>
      <c r="Y136">
        <v>112.8</v>
      </c>
      <c r="Z136">
        <v>121.2</v>
      </c>
      <c r="AA136">
        <v>131.9</v>
      </c>
      <c r="AB136">
        <v>120.8</v>
      </c>
      <c r="AC136">
        <v>120.9</v>
      </c>
      <c r="AD136">
        <v>128.6</v>
      </c>
      <c r="AE136">
        <f t="shared" si="10"/>
        <v>1499.8999999999999</v>
      </c>
      <c r="AF136">
        <f t="shared" si="11"/>
        <v>263</v>
      </c>
      <c r="AG136">
        <f t="shared" si="12"/>
        <v>242.6</v>
      </c>
      <c r="AH136">
        <f t="shared" si="13"/>
        <v>234</v>
      </c>
      <c r="AI136">
        <f t="shared" si="14"/>
        <v>875</v>
      </c>
      <c r="AK136" s="18">
        <f>(Table1[[#This Row],[Food Category]]/$AJ$375)</f>
        <v>0</v>
      </c>
    </row>
    <row r="137" spans="1:37" hidden="1" x14ac:dyDescent="0.3">
      <c r="A137" t="s">
        <v>34</v>
      </c>
      <c r="B137">
        <v>2016</v>
      </c>
      <c r="C137" t="s">
        <v>43</v>
      </c>
      <c r="D137">
        <v>130.5</v>
      </c>
      <c r="E137">
        <v>137.9</v>
      </c>
      <c r="F137">
        <v>130.19999999999999</v>
      </c>
      <c r="G137">
        <v>134.80000000000001</v>
      </c>
      <c r="H137">
        <v>117.8</v>
      </c>
      <c r="I137">
        <v>134.69999999999999</v>
      </c>
      <c r="J137">
        <v>151.19999999999999</v>
      </c>
      <c r="K137">
        <v>172.1</v>
      </c>
      <c r="L137">
        <v>114.1</v>
      </c>
      <c r="M137">
        <v>139.30000000000001</v>
      </c>
      <c r="N137">
        <v>126.1</v>
      </c>
      <c r="O137">
        <v>141.1</v>
      </c>
      <c r="P137">
        <v>137</v>
      </c>
      <c r="Q137">
        <v>141.80000000000001</v>
      </c>
      <c r="R137">
        <v>135.5</v>
      </c>
      <c r="S137">
        <v>129.1</v>
      </c>
      <c r="T137">
        <v>134.5</v>
      </c>
      <c r="U137">
        <v>128.69999999999999</v>
      </c>
      <c r="V137">
        <v>124.3</v>
      </c>
      <c r="W137">
        <v>128.4</v>
      </c>
      <c r="X137">
        <v>126.1</v>
      </c>
      <c r="Y137">
        <v>115.2</v>
      </c>
      <c r="Z137">
        <v>123.5</v>
      </c>
      <c r="AA137">
        <v>132.4</v>
      </c>
      <c r="AB137">
        <v>122.1</v>
      </c>
      <c r="AC137">
        <v>123.4</v>
      </c>
      <c r="AD137">
        <v>131.4</v>
      </c>
      <c r="AE137">
        <f t="shared" si="10"/>
        <v>1501.7999999999997</v>
      </c>
      <c r="AF137">
        <f t="shared" si="11"/>
        <v>265</v>
      </c>
      <c r="AG137">
        <f t="shared" si="12"/>
        <v>248.2</v>
      </c>
      <c r="AH137">
        <f t="shared" si="13"/>
        <v>238.7</v>
      </c>
      <c r="AI137">
        <f t="shared" si="14"/>
        <v>893.2</v>
      </c>
      <c r="AK137" s="18">
        <f>(Table1[[#This Row],[Food Category]]/$AJ$375)</f>
        <v>0</v>
      </c>
    </row>
    <row r="138" spans="1:37" hidden="1" x14ac:dyDescent="0.3">
      <c r="A138" t="s">
        <v>30</v>
      </c>
      <c r="B138">
        <v>2016</v>
      </c>
      <c r="C138" t="s">
        <v>45</v>
      </c>
      <c r="D138">
        <v>132</v>
      </c>
      <c r="E138">
        <v>137.4</v>
      </c>
      <c r="F138">
        <v>130.6</v>
      </c>
      <c r="G138">
        <v>136.19999999999999</v>
      </c>
      <c r="H138">
        <v>121.1</v>
      </c>
      <c r="I138">
        <v>136.9</v>
      </c>
      <c r="J138">
        <v>141.80000000000001</v>
      </c>
      <c r="K138">
        <v>170</v>
      </c>
      <c r="L138">
        <v>113.4</v>
      </c>
      <c r="M138">
        <v>136.80000000000001</v>
      </c>
      <c r="N138">
        <v>128.69999999999999</v>
      </c>
      <c r="O138">
        <v>143.1</v>
      </c>
      <c r="P138">
        <v>136.6</v>
      </c>
      <c r="Q138">
        <v>141.19999999999999</v>
      </c>
      <c r="R138">
        <v>139.9</v>
      </c>
      <c r="S138">
        <v>134.5</v>
      </c>
      <c r="T138">
        <v>139.19999999999999</v>
      </c>
      <c r="U138" t="s">
        <v>32</v>
      </c>
      <c r="V138">
        <v>130.30000000000001</v>
      </c>
      <c r="W138">
        <v>132.1</v>
      </c>
      <c r="X138">
        <v>129.1</v>
      </c>
      <c r="Y138">
        <v>118.2</v>
      </c>
      <c r="Z138">
        <v>126.9</v>
      </c>
      <c r="AA138">
        <v>133.69999999999999</v>
      </c>
      <c r="AB138">
        <v>123.5</v>
      </c>
      <c r="AC138">
        <v>126.1</v>
      </c>
      <c r="AD138">
        <v>133.6</v>
      </c>
      <c r="AE138">
        <f t="shared" si="10"/>
        <v>1497.8</v>
      </c>
      <c r="AF138">
        <f t="shared" si="11"/>
        <v>266.79999999999995</v>
      </c>
      <c r="AG138">
        <f t="shared" si="12"/>
        <v>252.6</v>
      </c>
      <c r="AH138">
        <f t="shared" si="13"/>
        <v>245.10000000000002</v>
      </c>
      <c r="AI138">
        <f t="shared" si="14"/>
        <v>781.50000000000011</v>
      </c>
      <c r="AK138" s="18">
        <f>(Table1[[#This Row],[Food Category]]/$AJ$375)</f>
        <v>0</v>
      </c>
    </row>
    <row r="139" spans="1:37" hidden="1" x14ac:dyDescent="0.3">
      <c r="A139" t="s">
        <v>33</v>
      </c>
      <c r="B139">
        <v>2016</v>
      </c>
      <c r="C139" t="s">
        <v>45</v>
      </c>
      <c r="D139">
        <v>130.19999999999999</v>
      </c>
      <c r="E139">
        <v>138.5</v>
      </c>
      <c r="F139">
        <v>134.1</v>
      </c>
      <c r="G139">
        <v>132.9</v>
      </c>
      <c r="H139">
        <v>112.6</v>
      </c>
      <c r="I139">
        <v>130.80000000000001</v>
      </c>
      <c r="J139">
        <v>142</v>
      </c>
      <c r="K139">
        <v>174.9</v>
      </c>
      <c r="L139">
        <v>115.6</v>
      </c>
      <c r="M139">
        <v>145.4</v>
      </c>
      <c r="N139">
        <v>122.7</v>
      </c>
      <c r="O139">
        <v>140.30000000000001</v>
      </c>
      <c r="P139">
        <v>135.19999999999999</v>
      </c>
      <c r="Q139">
        <v>144.30000000000001</v>
      </c>
      <c r="R139">
        <v>129.6</v>
      </c>
      <c r="S139">
        <v>122.1</v>
      </c>
      <c r="T139">
        <v>128.5</v>
      </c>
      <c r="U139">
        <v>129.1</v>
      </c>
      <c r="V139">
        <v>116.2</v>
      </c>
      <c r="W139">
        <v>124.7</v>
      </c>
      <c r="X139">
        <v>122.1</v>
      </c>
      <c r="Y139">
        <v>113.4</v>
      </c>
      <c r="Z139">
        <v>121.7</v>
      </c>
      <c r="AA139">
        <v>132.1</v>
      </c>
      <c r="AB139">
        <v>121.3</v>
      </c>
      <c r="AC139">
        <v>121.3</v>
      </c>
      <c r="AD139">
        <v>128.5</v>
      </c>
      <c r="AE139">
        <f t="shared" si="10"/>
        <v>1488.2</v>
      </c>
      <c r="AF139">
        <f t="shared" si="11"/>
        <v>267</v>
      </c>
      <c r="AG139">
        <f t="shared" si="12"/>
        <v>243.39999999999998</v>
      </c>
      <c r="AH139">
        <f t="shared" si="13"/>
        <v>235.10000000000002</v>
      </c>
      <c r="AI139">
        <f t="shared" si="14"/>
        <v>877.49999999999989</v>
      </c>
      <c r="AK139" s="18">
        <f>(Table1[[#This Row],[Food Category]]/$AJ$375)</f>
        <v>0</v>
      </c>
    </row>
    <row r="140" spans="1:37" hidden="1" x14ac:dyDescent="0.3">
      <c r="A140" t="s">
        <v>34</v>
      </c>
      <c r="B140">
        <v>2016</v>
      </c>
      <c r="C140" t="s">
        <v>45</v>
      </c>
      <c r="D140">
        <v>131.4</v>
      </c>
      <c r="E140">
        <v>137.80000000000001</v>
      </c>
      <c r="F140">
        <v>132</v>
      </c>
      <c r="G140">
        <v>135</v>
      </c>
      <c r="H140">
        <v>118</v>
      </c>
      <c r="I140">
        <v>134.1</v>
      </c>
      <c r="J140">
        <v>141.9</v>
      </c>
      <c r="K140">
        <v>171.7</v>
      </c>
      <c r="L140">
        <v>114.1</v>
      </c>
      <c r="M140">
        <v>139.69999999999999</v>
      </c>
      <c r="N140">
        <v>126.2</v>
      </c>
      <c r="O140">
        <v>141.80000000000001</v>
      </c>
      <c r="P140">
        <v>136.1</v>
      </c>
      <c r="Q140">
        <v>142</v>
      </c>
      <c r="R140">
        <v>135.80000000000001</v>
      </c>
      <c r="S140">
        <v>129.30000000000001</v>
      </c>
      <c r="T140">
        <v>135</v>
      </c>
      <c r="U140">
        <v>129.1</v>
      </c>
      <c r="V140">
        <v>125</v>
      </c>
      <c r="W140">
        <v>128.6</v>
      </c>
      <c r="X140">
        <v>126.4</v>
      </c>
      <c r="Y140">
        <v>115.7</v>
      </c>
      <c r="Z140">
        <v>124</v>
      </c>
      <c r="AA140">
        <v>132.80000000000001</v>
      </c>
      <c r="AB140">
        <v>122.6</v>
      </c>
      <c r="AC140">
        <v>123.8</v>
      </c>
      <c r="AD140">
        <v>131.19999999999999</v>
      </c>
      <c r="AE140">
        <f t="shared" si="10"/>
        <v>1492.8</v>
      </c>
      <c r="AF140">
        <f t="shared" si="11"/>
        <v>267</v>
      </c>
      <c r="AG140">
        <f t="shared" si="12"/>
        <v>249</v>
      </c>
      <c r="AH140">
        <f t="shared" si="13"/>
        <v>239.7</v>
      </c>
      <c r="AI140">
        <f t="shared" si="14"/>
        <v>895.40000000000009</v>
      </c>
      <c r="AK140" s="18">
        <f>(Table1[[#This Row],[Food Category]]/$AJ$375)</f>
        <v>0</v>
      </c>
    </row>
    <row r="141" spans="1:37" hidden="1" x14ac:dyDescent="0.3">
      <c r="A141" t="s">
        <v>30</v>
      </c>
      <c r="B141">
        <v>2016</v>
      </c>
      <c r="C141" t="s">
        <v>46</v>
      </c>
      <c r="D141">
        <v>132.6</v>
      </c>
      <c r="E141">
        <v>137.30000000000001</v>
      </c>
      <c r="F141">
        <v>131.6</v>
      </c>
      <c r="G141">
        <v>136.30000000000001</v>
      </c>
      <c r="H141">
        <v>121.6</v>
      </c>
      <c r="I141">
        <v>135.6</v>
      </c>
      <c r="J141">
        <v>127.5</v>
      </c>
      <c r="K141">
        <v>167.9</v>
      </c>
      <c r="L141">
        <v>113.8</v>
      </c>
      <c r="M141">
        <v>137.5</v>
      </c>
      <c r="N141">
        <v>129.1</v>
      </c>
      <c r="O141">
        <v>143.6</v>
      </c>
      <c r="P141">
        <v>134.69999999999999</v>
      </c>
      <c r="Q141">
        <v>142.4</v>
      </c>
      <c r="R141">
        <v>140.4</v>
      </c>
      <c r="S141">
        <v>135.19999999999999</v>
      </c>
      <c r="T141">
        <v>139.69999999999999</v>
      </c>
      <c r="U141" t="s">
        <v>32</v>
      </c>
      <c r="V141">
        <v>132</v>
      </c>
      <c r="W141">
        <v>132.9</v>
      </c>
      <c r="X141">
        <v>129.69999999999999</v>
      </c>
      <c r="Y141">
        <v>118.6</v>
      </c>
      <c r="Z141">
        <v>127.3</v>
      </c>
      <c r="AA141">
        <v>134.19999999999999</v>
      </c>
      <c r="AB141">
        <v>121.9</v>
      </c>
      <c r="AC141">
        <v>126.3</v>
      </c>
      <c r="AD141">
        <v>132.80000000000001</v>
      </c>
      <c r="AE141">
        <f t="shared" si="10"/>
        <v>1481.1999999999998</v>
      </c>
      <c r="AF141">
        <f t="shared" si="11"/>
        <v>267.89999999999998</v>
      </c>
      <c r="AG141">
        <f t="shared" si="12"/>
        <v>251.6</v>
      </c>
      <c r="AH141">
        <f t="shared" si="13"/>
        <v>245.89999999999998</v>
      </c>
      <c r="AI141">
        <f t="shared" si="14"/>
        <v>785</v>
      </c>
      <c r="AK141" s="18">
        <f>(Table1[[#This Row],[Food Category]]/$AJ$375)</f>
        <v>0</v>
      </c>
    </row>
    <row r="142" spans="1:37" hidden="1" x14ac:dyDescent="0.3">
      <c r="A142" t="s">
        <v>33</v>
      </c>
      <c r="B142">
        <v>2016</v>
      </c>
      <c r="C142" t="s">
        <v>46</v>
      </c>
      <c r="D142">
        <v>131.6</v>
      </c>
      <c r="E142">
        <v>138.19999999999999</v>
      </c>
      <c r="F142">
        <v>134.9</v>
      </c>
      <c r="G142">
        <v>133.1</v>
      </c>
      <c r="H142">
        <v>113.5</v>
      </c>
      <c r="I142">
        <v>129.30000000000001</v>
      </c>
      <c r="J142">
        <v>121.1</v>
      </c>
      <c r="K142">
        <v>170.3</v>
      </c>
      <c r="L142">
        <v>115.5</v>
      </c>
      <c r="M142">
        <v>145.5</v>
      </c>
      <c r="N142">
        <v>123.1</v>
      </c>
      <c r="O142">
        <v>140.9</v>
      </c>
      <c r="P142">
        <v>132.80000000000001</v>
      </c>
      <c r="Q142">
        <v>145</v>
      </c>
      <c r="R142">
        <v>130</v>
      </c>
      <c r="S142">
        <v>122.2</v>
      </c>
      <c r="T142">
        <v>128.80000000000001</v>
      </c>
      <c r="U142">
        <v>128.5</v>
      </c>
      <c r="V142">
        <v>117.8</v>
      </c>
      <c r="W142">
        <v>125</v>
      </c>
      <c r="X142">
        <v>122.3</v>
      </c>
      <c r="Y142">
        <v>113.7</v>
      </c>
      <c r="Z142">
        <v>121.8</v>
      </c>
      <c r="AA142">
        <v>132.30000000000001</v>
      </c>
      <c r="AB142">
        <v>119.9</v>
      </c>
      <c r="AC142">
        <v>121.4</v>
      </c>
      <c r="AD142">
        <v>127.6</v>
      </c>
      <c r="AE142">
        <f t="shared" si="10"/>
        <v>1461.8</v>
      </c>
      <c r="AF142">
        <f t="shared" si="11"/>
        <v>268</v>
      </c>
      <c r="AG142">
        <f t="shared" si="12"/>
        <v>242.2</v>
      </c>
      <c r="AH142">
        <f t="shared" si="13"/>
        <v>235.5</v>
      </c>
      <c r="AI142">
        <f t="shared" si="14"/>
        <v>879</v>
      </c>
      <c r="AK142" s="18">
        <f>(Table1[[#This Row],[Food Category]]/$AJ$375)</f>
        <v>0</v>
      </c>
    </row>
    <row r="143" spans="1:37" hidden="1" x14ac:dyDescent="0.3">
      <c r="A143" t="s">
        <v>34</v>
      </c>
      <c r="B143">
        <v>2016</v>
      </c>
      <c r="C143" t="s">
        <v>46</v>
      </c>
      <c r="D143">
        <v>132.30000000000001</v>
      </c>
      <c r="E143">
        <v>137.6</v>
      </c>
      <c r="F143">
        <v>132.9</v>
      </c>
      <c r="G143">
        <v>135.1</v>
      </c>
      <c r="H143">
        <v>118.6</v>
      </c>
      <c r="I143">
        <v>132.69999999999999</v>
      </c>
      <c r="J143">
        <v>125.3</v>
      </c>
      <c r="K143">
        <v>168.7</v>
      </c>
      <c r="L143">
        <v>114.4</v>
      </c>
      <c r="M143">
        <v>140.19999999999999</v>
      </c>
      <c r="N143">
        <v>126.6</v>
      </c>
      <c r="O143">
        <v>142.30000000000001</v>
      </c>
      <c r="P143">
        <v>134</v>
      </c>
      <c r="Q143">
        <v>143.1</v>
      </c>
      <c r="R143">
        <v>136.30000000000001</v>
      </c>
      <c r="S143">
        <v>129.80000000000001</v>
      </c>
      <c r="T143">
        <v>135.4</v>
      </c>
      <c r="U143">
        <v>128.5</v>
      </c>
      <c r="V143">
        <v>126.6</v>
      </c>
      <c r="W143">
        <v>129.19999999999999</v>
      </c>
      <c r="X143">
        <v>126.9</v>
      </c>
      <c r="Y143">
        <v>116</v>
      </c>
      <c r="Z143">
        <v>124.2</v>
      </c>
      <c r="AA143">
        <v>133.1</v>
      </c>
      <c r="AB143">
        <v>121.1</v>
      </c>
      <c r="AC143">
        <v>123.9</v>
      </c>
      <c r="AD143">
        <v>130.4</v>
      </c>
      <c r="AE143">
        <f t="shared" si="10"/>
        <v>1472.6999999999998</v>
      </c>
      <c r="AF143">
        <f t="shared" si="11"/>
        <v>268</v>
      </c>
      <c r="AG143">
        <f t="shared" si="12"/>
        <v>248</v>
      </c>
      <c r="AH143">
        <f t="shared" si="13"/>
        <v>240.2</v>
      </c>
      <c r="AI143">
        <f t="shared" si="14"/>
        <v>897.7</v>
      </c>
      <c r="AK143" s="18">
        <f>(Table1[[#This Row],[Food Category]]/$AJ$375)</f>
        <v>0</v>
      </c>
    </row>
    <row r="144" spans="1:37" hidden="1" x14ac:dyDescent="0.3">
      <c r="A144" t="s">
        <v>30</v>
      </c>
      <c r="B144">
        <v>2017</v>
      </c>
      <c r="C144" t="s">
        <v>31</v>
      </c>
      <c r="D144">
        <v>133.1</v>
      </c>
      <c r="E144">
        <v>137.80000000000001</v>
      </c>
      <c r="F144">
        <v>131.9</v>
      </c>
      <c r="G144">
        <v>136.69999999999999</v>
      </c>
      <c r="H144">
        <v>122</v>
      </c>
      <c r="I144">
        <v>136</v>
      </c>
      <c r="J144">
        <v>119.8</v>
      </c>
      <c r="K144">
        <v>161.69999999999999</v>
      </c>
      <c r="L144">
        <v>114.8</v>
      </c>
      <c r="M144">
        <v>136.9</v>
      </c>
      <c r="N144">
        <v>129</v>
      </c>
      <c r="O144">
        <v>143.9</v>
      </c>
      <c r="P144">
        <v>133.69999999999999</v>
      </c>
      <c r="Q144">
        <v>143.1</v>
      </c>
      <c r="R144">
        <v>140.69999999999999</v>
      </c>
      <c r="S144">
        <v>135.80000000000001</v>
      </c>
      <c r="T144">
        <v>140</v>
      </c>
      <c r="U144" t="s">
        <v>32</v>
      </c>
      <c r="V144">
        <v>132.1</v>
      </c>
      <c r="W144">
        <v>133.19999999999999</v>
      </c>
      <c r="X144">
        <v>129.9</v>
      </c>
      <c r="Y144">
        <v>119.1</v>
      </c>
      <c r="Z144">
        <v>127</v>
      </c>
      <c r="AA144">
        <v>134.6</v>
      </c>
      <c r="AB144">
        <v>122.3</v>
      </c>
      <c r="AC144">
        <v>126.6</v>
      </c>
      <c r="AD144">
        <v>132.4</v>
      </c>
      <c r="AE144">
        <f t="shared" si="10"/>
        <v>1468.7</v>
      </c>
      <c r="AF144">
        <f t="shared" si="11"/>
        <v>268.60000000000002</v>
      </c>
      <c r="AG144">
        <f t="shared" si="12"/>
        <v>252.2</v>
      </c>
      <c r="AH144">
        <f t="shared" si="13"/>
        <v>246.1</v>
      </c>
      <c r="AI144">
        <f t="shared" si="14"/>
        <v>786.5</v>
      </c>
      <c r="AK144" s="18">
        <f>(Table1[[#This Row],[Food Category]]/$AJ$375)</f>
        <v>0</v>
      </c>
    </row>
    <row r="145" spans="1:37" hidden="1" x14ac:dyDescent="0.3">
      <c r="A145" t="s">
        <v>33</v>
      </c>
      <c r="B145">
        <v>2017</v>
      </c>
      <c r="C145" t="s">
        <v>31</v>
      </c>
      <c r="D145">
        <v>132.19999999999999</v>
      </c>
      <c r="E145">
        <v>138.9</v>
      </c>
      <c r="F145">
        <v>132.6</v>
      </c>
      <c r="G145">
        <v>133.1</v>
      </c>
      <c r="H145">
        <v>114</v>
      </c>
      <c r="I145">
        <v>129.6</v>
      </c>
      <c r="J145">
        <v>118.7</v>
      </c>
      <c r="K145">
        <v>155.1</v>
      </c>
      <c r="L145">
        <v>117.3</v>
      </c>
      <c r="M145">
        <v>144.9</v>
      </c>
      <c r="N145">
        <v>123.2</v>
      </c>
      <c r="O145">
        <v>141.6</v>
      </c>
      <c r="P145">
        <v>132</v>
      </c>
      <c r="Q145">
        <v>145.6</v>
      </c>
      <c r="R145">
        <v>130.19999999999999</v>
      </c>
      <c r="S145">
        <v>122.3</v>
      </c>
      <c r="T145">
        <v>129</v>
      </c>
      <c r="U145">
        <v>129.6</v>
      </c>
      <c r="V145">
        <v>118</v>
      </c>
      <c r="W145">
        <v>125.1</v>
      </c>
      <c r="X145">
        <v>122.6</v>
      </c>
      <c r="Y145">
        <v>115.2</v>
      </c>
      <c r="Z145">
        <v>122</v>
      </c>
      <c r="AA145">
        <v>132.4</v>
      </c>
      <c r="AB145">
        <v>120.9</v>
      </c>
      <c r="AC145">
        <v>122.1</v>
      </c>
      <c r="AD145">
        <v>127.8</v>
      </c>
      <c r="AE145">
        <f t="shared" si="10"/>
        <v>1447.5</v>
      </c>
      <c r="AF145">
        <f t="shared" si="11"/>
        <v>265.7</v>
      </c>
      <c r="AG145">
        <f t="shared" si="12"/>
        <v>243.5</v>
      </c>
      <c r="AH145">
        <f t="shared" si="13"/>
        <v>237.2</v>
      </c>
      <c r="AI145">
        <f t="shared" si="14"/>
        <v>883.4</v>
      </c>
      <c r="AK145" s="18">
        <f>(Table1[[#This Row],[Food Category]]/$AJ$375)</f>
        <v>0</v>
      </c>
    </row>
    <row r="146" spans="1:37" hidden="1" x14ac:dyDescent="0.3">
      <c r="A146" t="s">
        <v>34</v>
      </c>
      <c r="B146">
        <v>2017</v>
      </c>
      <c r="C146" t="s">
        <v>31</v>
      </c>
      <c r="D146">
        <v>132.80000000000001</v>
      </c>
      <c r="E146">
        <v>138.19999999999999</v>
      </c>
      <c r="F146">
        <v>132.19999999999999</v>
      </c>
      <c r="G146">
        <v>135.4</v>
      </c>
      <c r="H146">
        <v>119.1</v>
      </c>
      <c r="I146">
        <v>133</v>
      </c>
      <c r="J146">
        <v>119.4</v>
      </c>
      <c r="K146">
        <v>159.5</v>
      </c>
      <c r="L146">
        <v>115.6</v>
      </c>
      <c r="M146">
        <v>139.6</v>
      </c>
      <c r="N146">
        <v>126.6</v>
      </c>
      <c r="O146">
        <v>142.80000000000001</v>
      </c>
      <c r="P146">
        <v>133.1</v>
      </c>
      <c r="Q146">
        <v>143.80000000000001</v>
      </c>
      <c r="R146">
        <v>136.6</v>
      </c>
      <c r="S146">
        <v>130.19999999999999</v>
      </c>
      <c r="T146">
        <v>135.6</v>
      </c>
      <c r="U146">
        <v>129.6</v>
      </c>
      <c r="V146">
        <v>126.8</v>
      </c>
      <c r="W146">
        <v>129.4</v>
      </c>
      <c r="X146">
        <v>127.1</v>
      </c>
      <c r="Y146">
        <v>117</v>
      </c>
      <c r="Z146">
        <v>124.2</v>
      </c>
      <c r="AA146">
        <v>133.30000000000001</v>
      </c>
      <c r="AB146">
        <v>121.7</v>
      </c>
      <c r="AC146">
        <v>124.4</v>
      </c>
      <c r="AD146">
        <v>130.30000000000001</v>
      </c>
      <c r="AE146">
        <f t="shared" si="10"/>
        <v>1459.6999999999998</v>
      </c>
      <c r="AF146">
        <f t="shared" si="11"/>
        <v>267.60000000000002</v>
      </c>
      <c r="AG146">
        <f t="shared" si="12"/>
        <v>248.8</v>
      </c>
      <c r="AH146">
        <f t="shared" si="13"/>
        <v>241.2</v>
      </c>
      <c r="AI146">
        <f t="shared" si="14"/>
        <v>901.3</v>
      </c>
      <c r="AK146" s="18">
        <f>(Table1[[#This Row],[Food Category]]/$AJ$375)</f>
        <v>0</v>
      </c>
    </row>
    <row r="147" spans="1:37" hidden="1" x14ac:dyDescent="0.3">
      <c r="A147" t="s">
        <v>30</v>
      </c>
      <c r="B147">
        <v>2017</v>
      </c>
      <c r="C147" t="s">
        <v>35</v>
      </c>
      <c r="D147">
        <v>133.30000000000001</v>
      </c>
      <c r="E147">
        <v>138.30000000000001</v>
      </c>
      <c r="F147">
        <v>129.30000000000001</v>
      </c>
      <c r="G147">
        <v>137.19999999999999</v>
      </c>
      <c r="H147">
        <v>122.1</v>
      </c>
      <c r="I147">
        <v>138.69999999999999</v>
      </c>
      <c r="J147">
        <v>119.1</v>
      </c>
      <c r="K147">
        <v>156.9</v>
      </c>
      <c r="L147">
        <v>116.2</v>
      </c>
      <c r="M147">
        <v>136</v>
      </c>
      <c r="N147">
        <v>129.4</v>
      </c>
      <c r="O147">
        <v>144.4</v>
      </c>
      <c r="P147">
        <v>133.6</v>
      </c>
      <c r="Q147">
        <v>143.69999999999999</v>
      </c>
      <c r="R147">
        <v>140.9</v>
      </c>
      <c r="S147">
        <v>135.80000000000001</v>
      </c>
      <c r="T147">
        <v>140.19999999999999</v>
      </c>
      <c r="U147" t="s">
        <v>32</v>
      </c>
      <c r="V147">
        <v>133.19999999999999</v>
      </c>
      <c r="W147">
        <v>133.6</v>
      </c>
      <c r="X147">
        <v>130.1</v>
      </c>
      <c r="Y147">
        <v>119.5</v>
      </c>
      <c r="Z147">
        <v>127.7</v>
      </c>
      <c r="AA147">
        <v>134.9</v>
      </c>
      <c r="AB147">
        <v>123.2</v>
      </c>
      <c r="AC147">
        <v>127</v>
      </c>
      <c r="AD147">
        <v>132.6</v>
      </c>
      <c r="AE147">
        <f t="shared" si="10"/>
        <v>1468.0000000000002</v>
      </c>
      <c r="AF147">
        <f t="shared" si="11"/>
        <v>266.5</v>
      </c>
      <c r="AG147">
        <f t="shared" si="12"/>
        <v>253.3</v>
      </c>
      <c r="AH147">
        <f t="shared" si="13"/>
        <v>247.2</v>
      </c>
      <c r="AI147">
        <f t="shared" si="14"/>
        <v>789.6</v>
      </c>
      <c r="AK147" s="18">
        <f>(Table1[[#This Row],[Food Category]]/$AJ$375)</f>
        <v>0</v>
      </c>
    </row>
    <row r="148" spans="1:37" hidden="1" x14ac:dyDescent="0.3">
      <c r="A148" t="s">
        <v>33</v>
      </c>
      <c r="B148">
        <v>2017</v>
      </c>
      <c r="C148" t="s">
        <v>35</v>
      </c>
      <c r="D148">
        <v>132.80000000000001</v>
      </c>
      <c r="E148">
        <v>139.80000000000001</v>
      </c>
      <c r="F148">
        <v>129.30000000000001</v>
      </c>
      <c r="G148">
        <v>133.5</v>
      </c>
      <c r="H148">
        <v>114.3</v>
      </c>
      <c r="I148">
        <v>131.4</v>
      </c>
      <c r="J148">
        <v>120.2</v>
      </c>
      <c r="K148">
        <v>143.1</v>
      </c>
      <c r="L148">
        <v>119.5</v>
      </c>
      <c r="M148">
        <v>144</v>
      </c>
      <c r="N148">
        <v>123.4</v>
      </c>
      <c r="O148">
        <v>141.9</v>
      </c>
      <c r="P148">
        <v>132.1</v>
      </c>
      <c r="Q148">
        <v>146.30000000000001</v>
      </c>
      <c r="R148">
        <v>130.5</v>
      </c>
      <c r="S148">
        <v>122.5</v>
      </c>
      <c r="T148">
        <v>129.30000000000001</v>
      </c>
      <c r="U148">
        <v>130.5</v>
      </c>
      <c r="V148">
        <v>119.2</v>
      </c>
      <c r="W148">
        <v>125.3</v>
      </c>
      <c r="X148">
        <v>122.9</v>
      </c>
      <c r="Y148">
        <v>115.5</v>
      </c>
      <c r="Z148">
        <v>122.2</v>
      </c>
      <c r="AA148">
        <v>132.4</v>
      </c>
      <c r="AB148">
        <v>121.7</v>
      </c>
      <c r="AC148">
        <v>122.4</v>
      </c>
      <c r="AD148">
        <v>128.19999999999999</v>
      </c>
      <c r="AE148">
        <f t="shared" si="10"/>
        <v>1442.5000000000002</v>
      </c>
      <c r="AF148">
        <f t="shared" si="11"/>
        <v>262.8</v>
      </c>
      <c r="AG148">
        <f t="shared" si="12"/>
        <v>244.60000000000002</v>
      </c>
      <c r="AH148">
        <f t="shared" si="13"/>
        <v>237.7</v>
      </c>
      <c r="AI148">
        <f t="shared" si="14"/>
        <v>887.39999999999986</v>
      </c>
      <c r="AK148" s="18">
        <f>(Table1[[#This Row],[Food Category]]/$AJ$375)</f>
        <v>0</v>
      </c>
    </row>
    <row r="149" spans="1:37" hidden="1" x14ac:dyDescent="0.3">
      <c r="A149" t="s">
        <v>34</v>
      </c>
      <c r="B149">
        <v>2017</v>
      </c>
      <c r="C149" t="s">
        <v>35</v>
      </c>
      <c r="D149">
        <v>133.1</v>
      </c>
      <c r="E149">
        <v>138.80000000000001</v>
      </c>
      <c r="F149">
        <v>129.30000000000001</v>
      </c>
      <c r="G149">
        <v>135.80000000000001</v>
      </c>
      <c r="H149">
        <v>119.2</v>
      </c>
      <c r="I149">
        <v>135.30000000000001</v>
      </c>
      <c r="J149">
        <v>119.5</v>
      </c>
      <c r="K149">
        <v>152.19999999999999</v>
      </c>
      <c r="L149">
        <v>117.3</v>
      </c>
      <c r="M149">
        <v>138.69999999999999</v>
      </c>
      <c r="N149">
        <v>126.9</v>
      </c>
      <c r="O149">
        <v>143.19999999999999</v>
      </c>
      <c r="P149">
        <v>133</v>
      </c>
      <c r="Q149">
        <v>144.4</v>
      </c>
      <c r="R149">
        <v>136.80000000000001</v>
      </c>
      <c r="S149">
        <v>130.30000000000001</v>
      </c>
      <c r="T149">
        <v>135.9</v>
      </c>
      <c r="U149">
        <v>130.5</v>
      </c>
      <c r="V149">
        <v>127.9</v>
      </c>
      <c r="W149">
        <v>129.69999999999999</v>
      </c>
      <c r="X149">
        <v>127.4</v>
      </c>
      <c r="Y149">
        <v>117.4</v>
      </c>
      <c r="Z149">
        <v>124.6</v>
      </c>
      <c r="AA149">
        <v>133.4</v>
      </c>
      <c r="AB149">
        <v>122.6</v>
      </c>
      <c r="AC149">
        <v>124.8</v>
      </c>
      <c r="AD149">
        <v>130.6</v>
      </c>
      <c r="AE149">
        <f t="shared" si="10"/>
        <v>1457.2</v>
      </c>
      <c r="AF149">
        <f t="shared" si="11"/>
        <v>265.10000000000002</v>
      </c>
      <c r="AG149">
        <f t="shared" si="12"/>
        <v>250</v>
      </c>
      <c r="AH149">
        <f t="shared" si="13"/>
        <v>242</v>
      </c>
      <c r="AI149">
        <f t="shared" si="14"/>
        <v>905.3</v>
      </c>
      <c r="AK149" s="18">
        <f>(Table1[[#This Row],[Food Category]]/$AJ$375)</f>
        <v>0</v>
      </c>
    </row>
    <row r="150" spans="1:37" hidden="1" x14ac:dyDescent="0.3">
      <c r="A150" t="s">
        <v>30</v>
      </c>
      <c r="B150">
        <v>2017</v>
      </c>
      <c r="C150" t="s">
        <v>36</v>
      </c>
      <c r="D150">
        <v>133.6</v>
      </c>
      <c r="E150">
        <v>138.80000000000001</v>
      </c>
      <c r="F150">
        <v>128.80000000000001</v>
      </c>
      <c r="G150">
        <v>137.19999999999999</v>
      </c>
      <c r="H150">
        <v>121.6</v>
      </c>
      <c r="I150">
        <v>139.69999999999999</v>
      </c>
      <c r="J150">
        <v>119.7</v>
      </c>
      <c r="K150">
        <v>148</v>
      </c>
      <c r="L150">
        <v>116.9</v>
      </c>
      <c r="M150">
        <v>135.6</v>
      </c>
      <c r="N150">
        <v>129.80000000000001</v>
      </c>
      <c r="O150">
        <v>145.4</v>
      </c>
      <c r="P150">
        <v>133.4</v>
      </c>
      <c r="Q150">
        <v>144.19999999999999</v>
      </c>
      <c r="R150">
        <v>141.6</v>
      </c>
      <c r="S150">
        <v>136.19999999999999</v>
      </c>
      <c r="T150">
        <v>140.80000000000001</v>
      </c>
      <c r="U150" t="s">
        <v>32</v>
      </c>
      <c r="V150">
        <v>134.19999999999999</v>
      </c>
      <c r="W150">
        <v>134.1</v>
      </c>
      <c r="X150">
        <v>130.6</v>
      </c>
      <c r="Y150">
        <v>119.8</v>
      </c>
      <c r="Z150">
        <v>128.30000000000001</v>
      </c>
      <c r="AA150">
        <v>135.19999999999999</v>
      </c>
      <c r="AB150">
        <v>123.3</v>
      </c>
      <c r="AC150">
        <v>127.4</v>
      </c>
      <c r="AD150">
        <v>132.80000000000001</v>
      </c>
      <c r="AE150">
        <f t="shared" si="10"/>
        <v>1462.5000000000002</v>
      </c>
      <c r="AF150">
        <f t="shared" si="11"/>
        <v>266</v>
      </c>
      <c r="AG150">
        <f t="shared" si="12"/>
        <v>253.89999999999998</v>
      </c>
      <c r="AH150">
        <f t="shared" si="13"/>
        <v>248.10000000000002</v>
      </c>
      <c r="AI150">
        <f t="shared" si="14"/>
        <v>792.5</v>
      </c>
      <c r="AK150" s="18">
        <f>(Table1[[#This Row],[Food Category]]/$AJ$375)</f>
        <v>0</v>
      </c>
    </row>
    <row r="151" spans="1:37" hidden="1" x14ac:dyDescent="0.3">
      <c r="A151" t="s">
        <v>33</v>
      </c>
      <c r="B151">
        <v>2017</v>
      </c>
      <c r="C151" t="s">
        <v>36</v>
      </c>
      <c r="D151">
        <v>132.69999999999999</v>
      </c>
      <c r="E151">
        <v>139.4</v>
      </c>
      <c r="F151">
        <v>128.4</v>
      </c>
      <c r="G151">
        <v>134.9</v>
      </c>
      <c r="H151">
        <v>114</v>
      </c>
      <c r="I151">
        <v>136.80000000000001</v>
      </c>
      <c r="J151">
        <v>122.2</v>
      </c>
      <c r="K151">
        <v>135.80000000000001</v>
      </c>
      <c r="L151">
        <v>120.3</v>
      </c>
      <c r="M151">
        <v>142.6</v>
      </c>
      <c r="N151">
        <v>123.6</v>
      </c>
      <c r="O151">
        <v>142.4</v>
      </c>
      <c r="P151">
        <v>132.6</v>
      </c>
      <c r="Q151">
        <v>147.5</v>
      </c>
      <c r="R151">
        <v>130.80000000000001</v>
      </c>
      <c r="S151">
        <v>122.8</v>
      </c>
      <c r="T151">
        <v>129.6</v>
      </c>
      <c r="U151">
        <v>131.1</v>
      </c>
      <c r="V151">
        <v>120.8</v>
      </c>
      <c r="W151">
        <v>125.6</v>
      </c>
      <c r="X151">
        <v>123.1</v>
      </c>
      <c r="Y151">
        <v>115.6</v>
      </c>
      <c r="Z151">
        <v>122.4</v>
      </c>
      <c r="AA151">
        <v>132.80000000000001</v>
      </c>
      <c r="AB151">
        <v>121.7</v>
      </c>
      <c r="AC151">
        <v>122.6</v>
      </c>
      <c r="AD151">
        <v>128.69999999999999</v>
      </c>
      <c r="AE151">
        <f t="shared" si="10"/>
        <v>1442.3999999999999</v>
      </c>
      <c r="AF151">
        <f t="shared" si="11"/>
        <v>263.3</v>
      </c>
      <c r="AG151">
        <f t="shared" si="12"/>
        <v>244.8</v>
      </c>
      <c r="AH151">
        <f t="shared" si="13"/>
        <v>238</v>
      </c>
      <c r="AI151">
        <f t="shared" si="14"/>
        <v>891.90000000000009</v>
      </c>
      <c r="AK151" s="18">
        <f>(Table1[[#This Row],[Food Category]]/$AJ$375)</f>
        <v>0</v>
      </c>
    </row>
    <row r="152" spans="1:37" hidden="1" x14ac:dyDescent="0.3">
      <c r="A152" t="s">
        <v>34</v>
      </c>
      <c r="B152">
        <v>2016</v>
      </c>
      <c r="C152" t="s">
        <v>37</v>
      </c>
      <c r="AD152">
        <v>127.3</v>
      </c>
      <c r="AE152">
        <f>SUM(D152,E152,H152,I152,J152,K152,L152,M152,N152,O152,P152)</f>
        <v>0</v>
      </c>
      <c r="AF152">
        <f>SUM(F152,G152)</f>
        <v>0</v>
      </c>
      <c r="AG152">
        <f>SUM(X152,AB152)</f>
        <v>0</v>
      </c>
      <c r="AH152">
        <f>SUM(Z152,Y152)</f>
        <v>0</v>
      </c>
      <c r="AI152">
        <f>SUM(Q152,U152,V152,W152,Y152,AC152,AD152)</f>
        <v>127.3</v>
      </c>
      <c r="AK152" s="18">
        <f>(Table1[[#This Row],[Food Category]]/$AJ$375)</f>
        <v>0</v>
      </c>
    </row>
    <row r="153" spans="1:37" ht="16.8" hidden="1" customHeight="1" x14ac:dyDescent="0.3">
      <c r="A153" t="s">
        <v>34</v>
      </c>
      <c r="B153">
        <v>2017</v>
      </c>
      <c r="C153" t="s">
        <v>36</v>
      </c>
      <c r="D153">
        <v>133.30000000000001</v>
      </c>
      <c r="E153">
        <v>139</v>
      </c>
      <c r="F153">
        <v>128.6</v>
      </c>
      <c r="G153">
        <v>136.30000000000001</v>
      </c>
      <c r="H153">
        <v>118.8</v>
      </c>
      <c r="I153">
        <v>138.30000000000001</v>
      </c>
      <c r="J153">
        <v>120.5</v>
      </c>
      <c r="K153">
        <v>143.9</v>
      </c>
      <c r="L153">
        <v>118</v>
      </c>
      <c r="M153">
        <v>137.9</v>
      </c>
      <c r="N153">
        <v>127.2</v>
      </c>
      <c r="O153">
        <v>144</v>
      </c>
      <c r="P153">
        <v>133.1</v>
      </c>
      <c r="Q153">
        <v>145.1</v>
      </c>
      <c r="R153">
        <v>137.30000000000001</v>
      </c>
      <c r="S153">
        <v>130.6</v>
      </c>
      <c r="T153">
        <v>136.4</v>
      </c>
      <c r="U153">
        <v>131.1</v>
      </c>
      <c r="V153">
        <v>129.1</v>
      </c>
      <c r="W153">
        <v>130.1</v>
      </c>
      <c r="X153">
        <v>127.8</v>
      </c>
      <c r="Y153">
        <v>117.6</v>
      </c>
      <c r="Z153">
        <v>125</v>
      </c>
      <c r="AA153">
        <v>133.80000000000001</v>
      </c>
      <c r="AB153">
        <v>122.6</v>
      </c>
      <c r="AC153">
        <v>125.1</v>
      </c>
      <c r="AD153">
        <v>130.9</v>
      </c>
      <c r="AE153">
        <f t="shared" si="10"/>
        <v>1454</v>
      </c>
      <c r="AF153">
        <f t="shared" si="11"/>
        <v>264.89999999999998</v>
      </c>
      <c r="AG153">
        <f t="shared" si="12"/>
        <v>250.39999999999998</v>
      </c>
      <c r="AH153">
        <f t="shared" si="13"/>
        <v>242.6</v>
      </c>
      <c r="AI153">
        <f t="shared" si="14"/>
        <v>909</v>
      </c>
      <c r="AK153" s="18">
        <f>(Table1[[#This Row],[Food Category]]/$AJ$375)</f>
        <v>0</v>
      </c>
    </row>
    <row r="154" spans="1:37" hidden="1" x14ac:dyDescent="0.3">
      <c r="A154" t="s">
        <v>30</v>
      </c>
      <c r="B154">
        <v>2017</v>
      </c>
      <c r="C154" t="s">
        <v>37</v>
      </c>
      <c r="D154">
        <v>133.19999999999999</v>
      </c>
      <c r="E154">
        <v>138.69999999999999</v>
      </c>
      <c r="F154">
        <v>127.1</v>
      </c>
      <c r="G154">
        <v>137.69999999999999</v>
      </c>
      <c r="H154">
        <v>121.3</v>
      </c>
      <c r="I154">
        <v>141.80000000000001</v>
      </c>
      <c r="J154">
        <v>121.5</v>
      </c>
      <c r="K154">
        <v>144.5</v>
      </c>
      <c r="L154">
        <v>117.4</v>
      </c>
      <c r="M154">
        <v>134.1</v>
      </c>
      <c r="N154">
        <v>130</v>
      </c>
      <c r="O154">
        <v>145.5</v>
      </c>
      <c r="P154">
        <v>133.5</v>
      </c>
      <c r="Q154">
        <v>144.4</v>
      </c>
      <c r="R154">
        <v>142.4</v>
      </c>
      <c r="S154">
        <v>136.80000000000001</v>
      </c>
      <c r="T154">
        <v>141.6</v>
      </c>
      <c r="U154" t="s">
        <v>32</v>
      </c>
      <c r="V154">
        <v>135</v>
      </c>
      <c r="W154">
        <v>134.30000000000001</v>
      </c>
      <c r="X154">
        <v>131</v>
      </c>
      <c r="Y154">
        <v>119.2</v>
      </c>
      <c r="Z154">
        <v>128.30000000000001</v>
      </c>
      <c r="AA154">
        <v>135.69999999999999</v>
      </c>
      <c r="AB154">
        <v>123.7</v>
      </c>
      <c r="AC154">
        <v>127.5</v>
      </c>
      <c r="AD154">
        <v>132.9</v>
      </c>
      <c r="AE154">
        <f t="shared" si="10"/>
        <v>1461.5</v>
      </c>
      <c r="AF154">
        <f t="shared" si="11"/>
        <v>264.79999999999995</v>
      </c>
      <c r="AG154">
        <f t="shared" si="12"/>
        <v>254.7</v>
      </c>
      <c r="AH154">
        <f t="shared" si="13"/>
        <v>247.5</v>
      </c>
      <c r="AI154">
        <f t="shared" si="14"/>
        <v>793.3</v>
      </c>
      <c r="AK154" s="18">
        <f>(Table1[[#This Row],[Food Category]]/$AJ$375)</f>
        <v>0</v>
      </c>
    </row>
    <row r="155" spans="1:37" hidden="1" x14ac:dyDescent="0.3">
      <c r="A155" t="s">
        <v>33</v>
      </c>
      <c r="B155">
        <v>2017</v>
      </c>
      <c r="C155" t="s">
        <v>37</v>
      </c>
      <c r="D155">
        <v>132.69999999999999</v>
      </c>
      <c r="E155">
        <v>140.6</v>
      </c>
      <c r="F155">
        <v>124.5</v>
      </c>
      <c r="G155">
        <v>136.30000000000001</v>
      </c>
      <c r="H155">
        <v>113.5</v>
      </c>
      <c r="I155">
        <v>137.69999999999999</v>
      </c>
      <c r="J155">
        <v>127.1</v>
      </c>
      <c r="K155">
        <v>133.80000000000001</v>
      </c>
      <c r="L155">
        <v>120.8</v>
      </c>
      <c r="M155">
        <v>141.30000000000001</v>
      </c>
      <c r="N155">
        <v>123.8</v>
      </c>
      <c r="O155">
        <v>142.6</v>
      </c>
      <c r="P155">
        <v>133.4</v>
      </c>
      <c r="Q155">
        <v>148</v>
      </c>
      <c r="R155">
        <v>131.19999999999999</v>
      </c>
      <c r="S155">
        <v>123</v>
      </c>
      <c r="T155">
        <v>130</v>
      </c>
      <c r="U155">
        <v>131.69999999999999</v>
      </c>
      <c r="V155">
        <v>121.4</v>
      </c>
      <c r="W155">
        <v>126</v>
      </c>
      <c r="X155">
        <v>123.4</v>
      </c>
      <c r="Y155">
        <v>114.3</v>
      </c>
      <c r="Z155">
        <v>122.6</v>
      </c>
      <c r="AA155">
        <v>133.6</v>
      </c>
      <c r="AB155">
        <v>122.2</v>
      </c>
      <c r="AC155">
        <v>122.5</v>
      </c>
      <c r="AD155">
        <v>129.1</v>
      </c>
      <c r="AE155">
        <f t="shared" si="10"/>
        <v>1447.3</v>
      </c>
      <c r="AF155">
        <f t="shared" si="11"/>
        <v>260.8</v>
      </c>
      <c r="AG155">
        <f t="shared" si="12"/>
        <v>245.60000000000002</v>
      </c>
      <c r="AH155">
        <f t="shared" si="13"/>
        <v>236.89999999999998</v>
      </c>
      <c r="AI155">
        <f t="shared" si="14"/>
        <v>893</v>
      </c>
      <c r="AK155" s="18">
        <f>(Table1[[#This Row],[Food Category]]/$AJ$375)</f>
        <v>0</v>
      </c>
    </row>
    <row r="156" spans="1:37" hidden="1" x14ac:dyDescent="0.3">
      <c r="A156" t="s">
        <v>34</v>
      </c>
      <c r="B156">
        <v>2017</v>
      </c>
      <c r="C156" t="s">
        <v>37</v>
      </c>
      <c r="D156">
        <v>133</v>
      </c>
      <c r="E156">
        <v>139.4</v>
      </c>
      <c r="F156">
        <v>126.1</v>
      </c>
      <c r="G156">
        <v>137.19999999999999</v>
      </c>
      <c r="H156">
        <v>118.4</v>
      </c>
      <c r="I156">
        <v>139.9</v>
      </c>
      <c r="J156">
        <v>123.4</v>
      </c>
      <c r="K156">
        <v>140.9</v>
      </c>
      <c r="L156">
        <v>118.5</v>
      </c>
      <c r="M156">
        <v>136.5</v>
      </c>
      <c r="N156">
        <v>127.4</v>
      </c>
      <c r="O156">
        <v>144.19999999999999</v>
      </c>
      <c r="P156">
        <v>133.5</v>
      </c>
      <c r="Q156">
        <v>145.4</v>
      </c>
      <c r="R156">
        <v>138</v>
      </c>
      <c r="S156">
        <v>131.1</v>
      </c>
      <c r="T156">
        <v>137</v>
      </c>
      <c r="U156">
        <v>131.69999999999999</v>
      </c>
      <c r="V156">
        <v>129.80000000000001</v>
      </c>
      <c r="W156">
        <v>130.4</v>
      </c>
      <c r="X156">
        <v>128.1</v>
      </c>
      <c r="Y156">
        <v>116.6</v>
      </c>
      <c r="Z156">
        <v>125.1</v>
      </c>
      <c r="AA156">
        <v>134.5</v>
      </c>
      <c r="AB156">
        <v>123.1</v>
      </c>
      <c r="AC156">
        <v>125.1</v>
      </c>
      <c r="AD156">
        <v>131.1</v>
      </c>
      <c r="AE156">
        <f t="shared" si="10"/>
        <v>1455.1000000000001</v>
      </c>
      <c r="AF156">
        <f t="shared" si="11"/>
        <v>263.29999999999995</v>
      </c>
      <c r="AG156">
        <f t="shared" si="12"/>
        <v>251.2</v>
      </c>
      <c r="AH156">
        <f t="shared" si="13"/>
        <v>241.7</v>
      </c>
      <c r="AI156">
        <f t="shared" si="14"/>
        <v>910.10000000000014</v>
      </c>
      <c r="AK156" s="18">
        <f>(Table1[[#This Row],[Food Category]]/$AJ$375)</f>
        <v>0</v>
      </c>
    </row>
    <row r="157" spans="1:37" hidden="1" x14ac:dyDescent="0.3">
      <c r="A157" t="s">
        <v>30</v>
      </c>
      <c r="B157">
        <v>2017</v>
      </c>
      <c r="C157" t="s">
        <v>38</v>
      </c>
      <c r="D157">
        <v>133.1</v>
      </c>
      <c r="E157">
        <v>140.30000000000001</v>
      </c>
      <c r="F157">
        <v>126.8</v>
      </c>
      <c r="G157">
        <v>138.19999999999999</v>
      </c>
      <c r="H157">
        <v>120.8</v>
      </c>
      <c r="I157">
        <v>140.19999999999999</v>
      </c>
      <c r="J157">
        <v>123.8</v>
      </c>
      <c r="K157">
        <v>141.80000000000001</v>
      </c>
      <c r="L157">
        <v>118.6</v>
      </c>
      <c r="M157">
        <v>134</v>
      </c>
      <c r="N157">
        <v>130.30000000000001</v>
      </c>
      <c r="O157">
        <v>145.80000000000001</v>
      </c>
      <c r="P157">
        <v>133.80000000000001</v>
      </c>
      <c r="Q157">
        <v>145.5</v>
      </c>
      <c r="R157">
        <v>142.5</v>
      </c>
      <c r="S157">
        <v>137.30000000000001</v>
      </c>
      <c r="T157">
        <v>141.80000000000001</v>
      </c>
      <c r="U157" t="s">
        <v>32</v>
      </c>
      <c r="V157">
        <v>135</v>
      </c>
      <c r="W157">
        <v>134.9</v>
      </c>
      <c r="X157">
        <v>131.4</v>
      </c>
      <c r="Y157">
        <v>119.4</v>
      </c>
      <c r="Z157">
        <v>129.4</v>
      </c>
      <c r="AA157">
        <v>136.30000000000001</v>
      </c>
      <c r="AB157">
        <v>123.7</v>
      </c>
      <c r="AC157">
        <v>127.9</v>
      </c>
      <c r="AD157">
        <v>133.30000000000001</v>
      </c>
      <c r="AE157">
        <f t="shared" si="10"/>
        <v>1462.4999999999998</v>
      </c>
      <c r="AF157">
        <f t="shared" si="11"/>
        <v>265</v>
      </c>
      <c r="AG157">
        <f t="shared" si="12"/>
        <v>255.10000000000002</v>
      </c>
      <c r="AH157">
        <f t="shared" si="13"/>
        <v>248.8</v>
      </c>
      <c r="AI157">
        <f t="shared" si="14"/>
        <v>796</v>
      </c>
      <c r="AK157" s="18">
        <f>(Table1[[#This Row],[Food Category]]/$AJ$375)</f>
        <v>0</v>
      </c>
    </row>
    <row r="158" spans="1:37" hidden="1" x14ac:dyDescent="0.3">
      <c r="A158" t="s">
        <v>33</v>
      </c>
      <c r="B158">
        <v>2017</v>
      </c>
      <c r="C158" t="s">
        <v>38</v>
      </c>
      <c r="D158">
        <v>132.6</v>
      </c>
      <c r="E158">
        <v>144.1</v>
      </c>
      <c r="F158">
        <v>125.6</v>
      </c>
      <c r="G158">
        <v>136.80000000000001</v>
      </c>
      <c r="H158">
        <v>113.4</v>
      </c>
      <c r="I158">
        <v>135.19999999999999</v>
      </c>
      <c r="J158">
        <v>129.19999999999999</v>
      </c>
      <c r="K158">
        <v>131.5</v>
      </c>
      <c r="L158">
        <v>121</v>
      </c>
      <c r="M158">
        <v>139.9</v>
      </c>
      <c r="N158">
        <v>123.8</v>
      </c>
      <c r="O158">
        <v>142.9</v>
      </c>
      <c r="P158">
        <v>133.6</v>
      </c>
      <c r="Q158">
        <v>148.30000000000001</v>
      </c>
      <c r="R158">
        <v>131.5</v>
      </c>
      <c r="S158">
        <v>123.2</v>
      </c>
      <c r="T158">
        <v>130.19999999999999</v>
      </c>
      <c r="U158">
        <v>132.1</v>
      </c>
      <c r="V158">
        <v>120.1</v>
      </c>
      <c r="W158">
        <v>126.5</v>
      </c>
      <c r="X158">
        <v>123.6</v>
      </c>
      <c r="Y158">
        <v>114.3</v>
      </c>
      <c r="Z158">
        <v>122.8</v>
      </c>
      <c r="AA158">
        <v>133.80000000000001</v>
      </c>
      <c r="AB158">
        <v>122</v>
      </c>
      <c r="AC158">
        <v>122.6</v>
      </c>
      <c r="AD158">
        <v>129.30000000000001</v>
      </c>
      <c r="AE158">
        <f t="shared" si="10"/>
        <v>1447.2</v>
      </c>
      <c r="AF158">
        <f t="shared" si="11"/>
        <v>262.39999999999998</v>
      </c>
      <c r="AG158">
        <f t="shared" si="12"/>
        <v>245.6</v>
      </c>
      <c r="AH158">
        <f t="shared" si="13"/>
        <v>237.1</v>
      </c>
      <c r="AI158">
        <f t="shared" si="14"/>
        <v>893.2</v>
      </c>
      <c r="AK158" s="18">
        <f>(Table1[[#This Row],[Food Category]]/$AJ$375)</f>
        <v>0</v>
      </c>
    </row>
    <row r="159" spans="1:37" hidden="1" x14ac:dyDescent="0.3">
      <c r="A159" t="s">
        <v>34</v>
      </c>
      <c r="B159">
        <v>2017</v>
      </c>
      <c r="C159" t="s">
        <v>38</v>
      </c>
      <c r="D159">
        <v>132.9</v>
      </c>
      <c r="E159">
        <v>141.6</v>
      </c>
      <c r="F159">
        <v>126.3</v>
      </c>
      <c r="G159">
        <v>137.69999999999999</v>
      </c>
      <c r="H159">
        <v>118.1</v>
      </c>
      <c r="I159">
        <v>137.9</v>
      </c>
      <c r="J159">
        <v>125.6</v>
      </c>
      <c r="K159">
        <v>138.30000000000001</v>
      </c>
      <c r="L159">
        <v>119.4</v>
      </c>
      <c r="M159">
        <v>136</v>
      </c>
      <c r="N159">
        <v>127.6</v>
      </c>
      <c r="O159">
        <v>144.5</v>
      </c>
      <c r="P159">
        <v>133.69999999999999</v>
      </c>
      <c r="Q159">
        <v>146.19999999999999</v>
      </c>
      <c r="R159">
        <v>138.19999999999999</v>
      </c>
      <c r="S159">
        <v>131.4</v>
      </c>
      <c r="T159">
        <v>137.19999999999999</v>
      </c>
      <c r="U159">
        <v>132.1</v>
      </c>
      <c r="V159">
        <v>129.4</v>
      </c>
      <c r="W159">
        <v>130.9</v>
      </c>
      <c r="X159">
        <v>128.4</v>
      </c>
      <c r="Y159">
        <v>116.7</v>
      </c>
      <c r="Z159">
        <v>125.7</v>
      </c>
      <c r="AA159">
        <v>134.80000000000001</v>
      </c>
      <c r="AB159">
        <v>123</v>
      </c>
      <c r="AC159">
        <v>125.3</v>
      </c>
      <c r="AD159">
        <v>131.4</v>
      </c>
      <c r="AE159">
        <f t="shared" si="10"/>
        <v>1455.6000000000001</v>
      </c>
      <c r="AF159">
        <f t="shared" si="11"/>
        <v>264</v>
      </c>
      <c r="AG159">
        <f t="shared" si="12"/>
        <v>251.4</v>
      </c>
      <c r="AH159">
        <f t="shared" si="13"/>
        <v>242.4</v>
      </c>
      <c r="AI159">
        <f t="shared" si="14"/>
        <v>911.99999999999989</v>
      </c>
      <c r="AK159" s="18">
        <f>(Table1[[#This Row],[Food Category]]/$AJ$375)</f>
        <v>0</v>
      </c>
    </row>
    <row r="160" spans="1:37" hidden="1" x14ac:dyDescent="0.3">
      <c r="A160" t="s">
        <v>30</v>
      </c>
      <c r="B160">
        <v>2017</v>
      </c>
      <c r="C160" t="s">
        <v>39</v>
      </c>
      <c r="D160">
        <v>133.5</v>
      </c>
      <c r="E160">
        <v>143.69999999999999</v>
      </c>
      <c r="F160">
        <v>128</v>
      </c>
      <c r="G160">
        <v>138.6</v>
      </c>
      <c r="H160">
        <v>120.9</v>
      </c>
      <c r="I160">
        <v>140.9</v>
      </c>
      <c r="J160">
        <v>128.80000000000001</v>
      </c>
      <c r="K160">
        <v>140.19999999999999</v>
      </c>
      <c r="L160">
        <v>118.9</v>
      </c>
      <c r="M160">
        <v>133.5</v>
      </c>
      <c r="N160">
        <v>130.4</v>
      </c>
      <c r="O160">
        <v>146.5</v>
      </c>
      <c r="P160">
        <v>134.9</v>
      </c>
      <c r="Q160">
        <v>145.80000000000001</v>
      </c>
      <c r="R160">
        <v>143.1</v>
      </c>
      <c r="S160">
        <v>137.69999999999999</v>
      </c>
      <c r="T160">
        <v>142.30000000000001</v>
      </c>
      <c r="U160" t="s">
        <v>32</v>
      </c>
      <c r="V160">
        <v>134.80000000000001</v>
      </c>
      <c r="W160">
        <v>135.19999999999999</v>
      </c>
      <c r="X160">
        <v>131.30000000000001</v>
      </c>
      <c r="Y160">
        <v>119.4</v>
      </c>
      <c r="Z160">
        <v>129.80000000000001</v>
      </c>
      <c r="AA160">
        <v>136.9</v>
      </c>
      <c r="AB160">
        <v>124.1</v>
      </c>
      <c r="AC160">
        <v>128.1</v>
      </c>
      <c r="AD160">
        <v>133.9</v>
      </c>
      <c r="AE160">
        <f t="shared" si="10"/>
        <v>1472.2000000000003</v>
      </c>
      <c r="AF160">
        <f t="shared" si="11"/>
        <v>266.60000000000002</v>
      </c>
      <c r="AG160">
        <f t="shared" si="12"/>
        <v>255.4</v>
      </c>
      <c r="AH160">
        <f t="shared" si="13"/>
        <v>249.20000000000002</v>
      </c>
      <c r="AI160">
        <f t="shared" si="14"/>
        <v>797.2</v>
      </c>
      <c r="AK160" s="18">
        <f>(Table1[[#This Row],[Food Category]]/$AJ$375)</f>
        <v>0</v>
      </c>
    </row>
    <row r="161" spans="1:37" hidden="1" x14ac:dyDescent="0.3">
      <c r="A161" t="s">
        <v>33</v>
      </c>
      <c r="B161">
        <v>2017</v>
      </c>
      <c r="C161" t="s">
        <v>39</v>
      </c>
      <c r="D161">
        <v>132.9</v>
      </c>
      <c r="E161">
        <v>148.69999999999999</v>
      </c>
      <c r="F161">
        <v>128.30000000000001</v>
      </c>
      <c r="G161">
        <v>137.30000000000001</v>
      </c>
      <c r="H161">
        <v>113.5</v>
      </c>
      <c r="I161">
        <v>137.19999999999999</v>
      </c>
      <c r="J161">
        <v>142.19999999999999</v>
      </c>
      <c r="K161">
        <v>128.19999999999999</v>
      </c>
      <c r="L161">
        <v>120.9</v>
      </c>
      <c r="M161">
        <v>138.80000000000001</v>
      </c>
      <c r="N161">
        <v>124.2</v>
      </c>
      <c r="O161">
        <v>143.1</v>
      </c>
      <c r="P161">
        <v>135.69999999999999</v>
      </c>
      <c r="Q161">
        <v>148.6</v>
      </c>
      <c r="R161">
        <v>131.5</v>
      </c>
      <c r="S161">
        <v>123.2</v>
      </c>
      <c r="T161">
        <v>130.19999999999999</v>
      </c>
      <c r="U161">
        <v>131.4</v>
      </c>
      <c r="V161">
        <v>119</v>
      </c>
      <c r="W161">
        <v>126.8</v>
      </c>
      <c r="X161">
        <v>123.8</v>
      </c>
      <c r="Y161">
        <v>113.9</v>
      </c>
      <c r="Z161">
        <v>122.9</v>
      </c>
      <c r="AA161">
        <v>134.30000000000001</v>
      </c>
      <c r="AB161">
        <v>122.5</v>
      </c>
      <c r="AC161">
        <v>122.7</v>
      </c>
      <c r="AD161">
        <v>129.9</v>
      </c>
      <c r="AE161">
        <f t="shared" si="10"/>
        <v>1465.4</v>
      </c>
      <c r="AF161">
        <f t="shared" si="11"/>
        <v>265.60000000000002</v>
      </c>
      <c r="AG161">
        <f t="shared" si="12"/>
        <v>246.3</v>
      </c>
      <c r="AH161">
        <f t="shared" si="13"/>
        <v>236.8</v>
      </c>
      <c r="AI161">
        <f t="shared" si="14"/>
        <v>892.3</v>
      </c>
      <c r="AK161" s="18">
        <f>(Table1[[#This Row],[Food Category]]/$AJ$375)</f>
        <v>0</v>
      </c>
    </row>
    <row r="162" spans="1:37" hidden="1" x14ac:dyDescent="0.3">
      <c r="A162" t="s">
        <v>34</v>
      </c>
      <c r="B162">
        <v>2017</v>
      </c>
      <c r="C162" t="s">
        <v>39</v>
      </c>
      <c r="D162">
        <v>133.30000000000001</v>
      </c>
      <c r="E162">
        <v>145.5</v>
      </c>
      <c r="F162">
        <v>128.1</v>
      </c>
      <c r="G162">
        <v>138.1</v>
      </c>
      <c r="H162">
        <v>118.2</v>
      </c>
      <c r="I162">
        <v>139.19999999999999</v>
      </c>
      <c r="J162">
        <v>133.30000000000001</v>
      </c>
      <c r="K162">
        <v>136.19999999999999</v>
      </c>
      <c r="L162">
        <v>119.6</v>
      </c>
      <c r="M162">
        <v>135.30000000000001</v>
      </c>
      <c r="N162">
        <v>127.8</v>
      </c>
      <c r="O162">
        <v>144.9</v>
      </c>
      <c r="P162">
        <v>135.19999999999999</v>
      </c>
      <c r="Q162">
        <v>146.5</v>
      </c>
      <c r="R162">
        <v>138.5</v>
      </c>
      <c r="S162">
        <v>131.69999999999999</v>
      </c>
      <c r="T162">
        <v>137.5</v>
      </c>
      <c r="U162">
        <v>131.4</v>
      </c>
      <c r="V162">
        <v>128.80000000000001</v>
      </c>
      <c r="W162">
        <v>131.19999999999999</v>
      </c>
      <c r="X162">
        <v>128.5</v>
      </c>
      <c r="Y162">
        <v>116.5</v>
      </c>
      <c r="Z162">
        <v>125.9</v>
      </c>
      <c r="AA162">
        <v>135.4</v>
      </c>
      <c r="AB162">
        <v>123.4</v>
      </c>
      <c r="AC162">
        <v>125.5</v>
      </c>
      <c r="AD162">
        <v>132</v>
      </c>
      <c r="AE162">
        <f t="shared" si="10"/>
        <v>1468.5000000000002</v>
      </c>
      <c r="AF162">
        <f t="shared" si="11"/>
        <v>266.2</v>
      </c>
      <c r="AG162">
        <f t="shared" si="12"/>
        <v>251.9</v>
      </c>
      <c r="AH162">
        <f t="shared" si="13"/>
        <v>242.4</v>
      </c>
      <c r="AI162">
        <f t="shared" si="14"/>
        <v>911.9</v>
      </c>
      <c r="AK162" s="18">
        <f>(Table1[[#This Row],[Food Category]]/$AJ$375)</f>
        <v>0</v>
      </c>
    </row>
    <row r="163" spans="1:37" hidden="1" x14ac:dyDescent="0.3">
      <c r="A163" t="s">
        <v>30</v>
      </c>
      <c r="B163">
        <v>2017</v>
      </c>
      <c r="C163" t="s">
        <v>40</v>
      </c>
      <c r="D163">
        <v>134</v>
      </c>
      <c r="E163">
        <v>144.19999999999999</v>
      </c>
      <c r="F163">
        <v>129.80000000000001</v>
      </c>
      <c r="G163">
        <v>139</v>
      </c>
      <c r="H163">
        <v>120.9</v>
      </c>
      <c r="I163">
        <v>143.9</v>
      </c>
      <c r="J163">
        <v>151.5</v>
      </c>
      <c r="K163">
        <v>138.1</v>
      </c>
      <c r="L163">
        <v>120</v>
      </c>
      <c r="M163">
        <v>133.9</v>
      </c>
      <c r="N163">
        <v>131.4</v>
      </c>
      <c r="O163">
        <v>147.69999999999999</v>
      </c>
      <c r="P163">
        <v>138.5</v>
      </c>
      <c r="Q163">
        <v>147.4</v>
      </c>
      <c r="R163">
        <v>144.30000000000001</v>
      </c>
      <c r="S163">
        <v>138.1</v>
      </c>
      <c r="T163">
        <v>143.5</v>
      </c>
      <c r="U163" t="s">
        <v>32</v>
      </c>
      <c r="V163">
        <v>135.30000000000001</v>
      </c>
      <c r="W163">
        <v>136.1</v>
      </c>
      <c r="X163">
        <v>132.1</v>
      </c>
      <c r="Y163">
        <v>119.1</v>
      </c>
      <c r="Z163">
        <v>130.6</v>
      </c>
      <c r="AA163">
        <v>138.6</v>
      </c>
      <c r="AB163">
        <v>124.4</v>
      </c>
      <c r="AC163">
        <v>128.6</v>
      </c>
      <c r="AD163">
        <v>136.19999999999999</v>
      </c>
      <c r="AE163">
        <f t="shared" si="10"/>
        <v>1504.1000000000001</v>
      </c>
      <c r="AF163">
        <f t="shared" si="11"/>
        <v>268.8</v>
      </c>
      <c r="AG163">
        <f t="shared" si="12"/>
        <v>256.5</v>
      </c>
      <c r="AH163">
        <f t="shared" si="13"/>
        <v>249.7</v>
      </c>
      <c r="AI163">
        <f t="shared" si="14"/>
        <v>802.7</v>
      </c>
      <c r="AK163" s="18">
        <f>(Table1[[#This Row],[Food Category]]/$AJ$375)</f>
        <v>0</v>
      </c>
    </row>
    <row r="164" spans="1:37" hidden="1" x14ac:dyDescent="0.3">
      <c r="A164" t="s">
        <v>33</v>
      </c>
      <c r="B164">
        <v>2017</v>
      </c>
      <c r="C164" t="s">
        <v>40</v>
      </c>
      <c r="D164">
        <v>132.80000000000001</v>
      </c>
      <c r="E164">
        <v>148.4</v>
      </c>
      <c r="F164">
        <v>129.4</v>
      </c>
      <c r="G164">
        <v>137.69999999999999</v>
      </c>
      <c r="H164">
        <v>113.4</v>
      </c>
      <c r="I164">
        <v>139.4</v>
      </c>
      <c r="J164">
        <v>175.1</v>
      </c>
      <c r="K164">
        <v>124.7</v>
      </c>
      <c r="L164">
        <v>121.5</v>
      </c>
      <c r="M164">
        <v>137.80000000000001</v>
      </c>
      <c r="N164">
        <v>124.4</v>
      </c>
      <c r="O164">
        <v>143.69999999999999</v>
      </c>
      <c r="P164">
        <v>139.80000000000001</v>
      </c>
      <c r="Q164">
        <v>150.5</v>
      </c>
      <c r="R164">
        <v>131.6</v>
      </c>
      <c r="S164">
        <v>123.7</v>
      </c>
      <c r="T164">
        <v>130.4</v>
      </c>
      <c r="U164">
        <v>132.6</v>
      </c>
      <c r="V164">
        <v>119.7</v>
      </c>
      <c r="W164">
        <v>127.2</v>
      </c>
      <c r="X164">
        <v>125</v>
      </c>
      <c r="Y164">
        <v>113.2</v>
      </c>
      <c r="Z164">
        <v>123.5</v>
      </c>
      <c r="AA164">
        <v>135.5</v>
      </c>
      <c r="AB164">
        <v>122.4</v>
      </c>
      <c r="AC164">
        <v>123</v>
      </c>
      <c r="AD164">
        <v>131.80000000000001</v>
      </c>
      <c r="AE164">
        <f t="shared" si="10"/>
        <v>1501.0000000000002</v>
      </c>
      <c r="AF164">
        <f t="shared" si="11"/>
        <v>267.10000000000002</v>
      </c>
      <c r="AG164">
        <f t="shared" si="12"/>
        <v>247.4</v>
      </c>
      <c r="AH164">
        <f t="shared" si="13"/>
        <v>236.7</v>
      </c>
      <c r="AI164">
        <f t="shared" si="14"/>
        <v>898</v>
      </c>
      <c r="AK164" s="18">
        <f>(Table1[[#This Row],[Food Category]]/$AJ$375)</f>
        <v>0</v>
      </c>
    </row>
    <row r="165" spans="1:37" hidden="1" x14ac:dyDescent="0.3">
      <c r="A165" t="s">
        <v>34</v>
      </c>
      <c r="B165">
        <v>2017</v>
      </c>
      <c r="C165" t="s">
        <v>40</v>
      </c>
      <c r="D165">
        <v>133.6</v>
      </c>
      <c r="E165">
        <v>145.69999999999999</v>
      </c>
      <c r="F165">
        <v>129.6</v>
      </c>
      <c r="G165">
        <v>138.5</v>
      </c>
      <c r="H165">
        <v>118.1</v>
      </c>
      <c r="I165">
        <v>141.80000000000001</v>
      </c>
      <c r="J165">
        <v>159.5</v>
      </c>
      <c r="K165">
        <v>133.6</v>
      </c>
      <c r="L165">
        <v>120.5</v>
      </c>
      <c r="M165">
        <v>135.19999999999999</v>
      </c>
      <c r="N165">
        <v>128.5</v>
      </c>
      <c r="O165">
        <v>145.80000000000001</v>
      </c>
      <c r="P165">
        <v>139</v>
      </c>
      <c r="Q165">
        <v>148.19999999999999</v>
      </c>
      <c r="R165">
        <v>139.30000000000001</v>
      </c>
      <c r="S165">
        <v>132.1</v>
      </c>
      <c r="T165">
        <v>138.30000000000001</v>
      </c>
      <c r="U165">
        <v>132.6</v>
      </c>
      <c r="V165">
        <v>129.4</v>
      </c>
      <c r="W165">
        <v>131.9</v>
      </c>
      <c r="X165">
        <v>129.4</v>
      </c>
      <c r="Y165">
        <v>116</v>
      </c>
      <c r="Z165">
        <v>126.6</v>
      </c>
      <c r="AA165">
        <v>136.80000000000001</v>
      </c>
      <c r="AB165">
        <v>123.6</v>
      </c>
      <c r="AC165">
        <v>125.9</v>
      </c>
      <c r="AD165">
        <v>134.19999999999999</v>
      </c>
      <c r="AE165">
        <f t="shared" si="10"/>
        <v>1501.3</v>
      </c>
      <c r="AF165">
        <f t="shared" si="11"/>
        <v>268.10000000000002</v>
      </c>
      <c r="AG165">
        <f t="shared" si="12"/>
        <v>253</v>
      </c>
      <c r="AH165">
        <f t="shared" si="13"/>
        <v>242.6</v>
      </c>
      <c r="AI165">
        <f t="shared" si="14"/>
        <v>918.19999999999982</v>
      </c>
      <c r="AK165" s="18">
        <f>(Table1[[#This Row],[Food Category]]/$AJ$375)</f>
        <v>0</v>
      </c>
    </row>
    <row r="166" spans="1:37" hidden="1" x14ac:dyDescent="0.3">
      <c r="A166" t="s">
        <v>30</v>
      </c>
      <c r="B166">
        <v>2017</v>
      </c>
      <c r="C166" t="s">
        <v>41</v>
      </c>
      <c r="D166">
        <v>134.80000000000001</v>
      </c>
      <c r="E166">
        <v>143.1</v>
      </c>
      <c r="F166">
        <v>130</v>
      </c>
      <c r="G166">
        <v>139.4</v>
      </c>
      <c r="H166">
        <v>120.5</v>
      </c>
      <c r="I166">
        <v>148</v>
      </c>
      <c r="J166">
        <v>162.9</v>
      </c>
      <c r="K166">
        <v>137.4</v>
      </c>
      <c r="L166">
        <v>120.8</v>
      </c>
      <c r="M166">
        <v>134.69999999999999</v>
      </c>
      <c r="N166">
        <v>131.6</v>
      </c>
      <c r="O166">
        <v>148.69999999999999</v>
      </c>
      <c r="P166">
        <v>140.6</v>
      </c>
      <c r="Q166">
        <v>149</v>
      </c>
      <c r="R166">
        <v>145.30000000000001</v>
      </c>
      <c r="S166">
        <v>139.19999999999999</v>
      </c>
      <c r="T166">
        <v>144.5</v>
      </c>
      <c r="U166" t="s">
        <v>32</v>
      </c>
      <c r="V166">
        <v>136.4</v>
      </c>
      <c r="W166">
        <v>137.30000000000001</v>
      </c>
      <c r="X166">
        <v>133</v>
      </c>
      <c r="Y166">
        <v>120.3</v>
      </c>
      <c r="Z166">
        <v>131.5</v>
      </c>
      <c r="AA166">
        <v>140.19999999999999</v>
      </c>
      <c r="AB166">
        <v>125.4</v>
      </c>
      <c r="AC166">
        <v>129.69999999999999</v>
      </c>
      <c r="AD166">
        <v>137.80000000000001</v>
      </c>
      <c r="AE166">
        <f t="shared" si="10"/>
        <v>1523.0999999999997</v>
      </c>
      <c r="AF166">
        <f t="shared" si="11"/>
        <v>269.39999999999998</v>
      </c>
      <c r="AG166">
        <f t="shared" si="12"/>
        <v>258.39999999999998</v>
      </c>
      <c r="AH166">
        <f t="shared" si="13"/>
        <v>251.8</v>
      </c>
      <c r="AI166">
        <f t="shared" si="14"/>
        <v>810.5</v>
      </c>
      <c r="AK166" s="18">
        <f>(Table1[[#This Row],[Food Category]]/$AJ$375)</f>
        <v>0</v>
      </c>
    </row>
    <row r="167" spans="1:37" hidden="1" x14ac:dyDescent="0.3">
      <c r="A167" t="s">
        <v>33</v>
      </c>
      <c r="B167">
        <v>2017</v>
      </c>
      <c r="C167" t="s">
        <v>41</v>
      </c>
      <c r="D167">
        <v>133.19999999999999</v>
      </c>
      <c r="E167">
        <v>143.9</v>
      </c>
      <c r="F167">
        <v>128.30000000000001</v>
      </c>
      <c r="G167">
        <v>138.30000000000001</v>
      </c>
      <c r="H167">
        <v>114.1</v>
      </c>
      <c r="I167">
        <v>142.69999999999999</v>
      </c>
      <c r="J167">
        <v>179.8</v>
      </c>
      <c r="K167">
        <v>123.5</v>
      </c>
      <c r="L167">
        <v>122.1</v>
      </c>
      <c r="M167">
        <v>137.5</v>
      </c>
      <c r="N167">
        <v>124.6</v>
      </c>
      <c r="O167">
        <v>144.5</v>
      </c>
      <c r="P167">
        <v>140.5</v>
      </c>
      <c r="Q167">
        <v>152.1</v>
      </c>
      <c r="R167">
        <v>132.69999999999999</v>
      </c>
      <c r="S167">
        <v>124.3</v>
      </c>
      <c r="T167">
        <v>131.4</v>
      </c>
      <c r="U167">
        <v>134.4</v>
      </c>
      <c r="V167">
        <v>118.9</v>
      </c>
      <c r="W167">
        <v>127.7</v>
      </c>
      <c r="X167">
        <v>125.7</v>
      </c>
      <c r="Y167">
        <v>114.6</v>
      </c>
      <c r="Z167">
        <v>124.1</v>
      </c>
      <c r="AA167">
        <v>135.69999999999999</v>
      </c>
      <c r="AB167">
        <v>123.3</v>
      </c>
      <c r="AC167">
        <v>123.8</v>
      </c>
      <c r="AD167">
        <v>132.69999999999999</v>
      </c>
      <c r="AE167">
        <f t="shared" si="10"/>
        <v>1506.4</v>
      </c>
      <c r="AF167">
        <f t="shared" si="11"/>
        <v>266.60000000000002</v>
      </c>
      <c r="AG167">
        <f t="shared" si="12"/>
        <v>249</v>
      </c>
      <c r="AH167">
        <f t="shared" si="13"/>
        <v>238.7</v>
      </c>
      <c r="AI167">
        <f t="shared" si="14"/>
        <v>904.2</v>
      </c>
      <c r="AK167" s="18">
        <f>(Table1[[#This Row],[Food Category]]/$AJ$375)</f>
        <v>0</v>
      </c>
    </row>
    <row r="168" spans="1:37" hidden="1" x14ac:dyDescent="0.3">
      <c r="A168" t="s">
        <v>34</v>
      </c>
      <c r="B168">
        <v>2017</v>
      </c>
      <c r="C168" t="s">
        <v>41</v>
      </c>
      <c r="D168">
        <v>134.30000000000001</v>
      </c>
      <c r="E168">
        <v>143.4</v>
      </c>
      <c r="F168">
        <v>129.30000000000001</v>
      </c>
      <c r="G168">
        <v>139</v>
      </c>
      <c r="H168">
        <v>118.1</v>
      </c>
      <c r="I168">
        <v>145.5</v>
      </c>
      <c r="J168">
        <v>168.6</v>
      </c>
      <c r="K168">
        <v>132.69999999999999</v>
      </c>
      <c r="L168">
        <v>121.2</v>
      </c>
      <c r="M168">
        <v>135.6</v>
      </c>
      <c r="N168">
        <v>128.69999999999999</v>
      </c>
      <c r="O168">
        <v>146.80000000000001</v>
      </c>
      <c r="P168">
        <v>140.6</v>
      </c>
      <c r="Q168">
        <v>149.80000000000001</v>
      </c>
      <c r="R168">
        <v>140.30000000000001</v>
      </c>
      <c r="S168">
        <v>133</v>
      </c>
      <c r="T168">
        <v>139.30000000000001</v>
      </c>
      <c r="U168">
        <v>134.4</v>
      </c>
      <c r="V168">
        <v>129.80000000000001</v>
      </c>
      <c r="W168">
        <v>132.80000000000001</v>
      </c>
      <c r="X168">
        <v>130.19999999999999</v>
      </c>
      <c r="Y168">
        <v>117.3</v>
      </c>
      <c r="Z168">
        <v>127.3</v>
      </c>
      <c r="AA168">
        <v>137.6</v>
      </c>
      <c r="AB168">
        <v>124.5</v>
      </c>
      <c r="AC168">
        <v>126.8</v>
      </c>
      <c r="AD168">
        <v>135.4</v>
      </c>
      <c r="AE168">
        <f t="shared" si="10"/>
        <v>1515.5</v>
      </c>
      <c r="AF168">
        <f t="shared" si="11"/>
        <v>268.3</v>
      </c>
      <c r="AG168">
        <f t="shared" si="12"/>
        <v>254.7</v>
      </c>
      <c r="AH168">
        <f t="shared" si="13"/>
        <v>244.6</v>
      </c>
      <c r="AI168">
        <f t="shared" si="14"/>
        <v>926.3</v>
      </c>
      <c r="AK168" s="18">
        <f>(Table1[[#This Row],[Food Category]]/$AJ$375)</f>
        <v>0</v>
      </c>
    </row>
    <row r="169" spans="1:37" hidden="1" x14ac:dyDescent="0.3">
      <c r="A169" t="s">
        <v>30</v>
      </c>
      <c r="B169">
        <v>2017</v>
      </c>
      <c r="C169" t="s">
        <v>42</v>
      </c>
      <c r="D169">
        <v>135.19999999999999</v>
      </c>
      <c r="E169">
        <v>142</v>
      </c>
      <c r="F169">
        <v>130.5</v>
      </c>
      <c r="G169">
        <v>140.19999999999999</v>
      </c>
      <c r="H169">
        <v>120.7</v>
      </c>
      <c r="I169">
        <v>147.80000000000001</v>
      </c>
      <c r="J169">
        <v>154.5</v>
      </c>
      <c r="K169">
        <v>137.1</v>
      </c>
      <c r="L169">
        <v>121</v>
      </c>
      <c r="M169">
        <v>134.69999999999999</v>
      </c>
      <c r="N169">
        <v>131.69999999999999</v>
      </c>
      <c r="O169">
        <v>149.30000000000001</v>
      </c>
      <c r="P169">
        <v>139.6</v>
      </c>
      <c r="Q169">
        <v>149.80000000000001</v>
      </c>
      <c r="R169">
        <v>146.1</v>
      </c>
      <c r="S169">
        <v>139.69999999999999</v>
      </c>
      <c r="T169">
        <v>145.19999999999999</v>
      </c>
      <c r="U169" t="s">
        <v>32</v>
      </c>
      <c r="V169">
        <v>137.4</v>
      </c>
      <c r="W169">
        <v>137.9</v>
      </c>
      <c r="X169">
        <v>133.4</v>
      </c>
      <c r="Y169">
        <v>121.2</v>
      </c>
      <c r="Z169">
        <v>132.30000000000001</v>
      </c>
      <c r="AA169">
        <v>139.6</v>
      </c>
      <c r="AB169">
        <v>126.7</v>
      </c>
      <c r="AC169">
        <v>130.30000000000001</v>
      </c>
      <c r="AD169">
        <v>137.6</v>
      </c>
      <c r="AE169">
        <f t="shared" si="10"/>
        <v>1513.6</v>
      </c>
      <c r="AF169">
        <f t="shared" si="11"/>
        <v>270.7</v>
      </c>
      <c r="AG169">
        <f t="shared" si="12"/>
        <v>260.10000000000002</v>
      </c>
      <c r="AH169">
        <f t="shared" si="13"/>
        <v>253.5</v>
      </c>
      <c r="AI169">
        <f t="shared" si="14"/>
        <v>814.20000000000016</v>
      </c>
      <c r="AK169" s="18">
        <f>(Table1[[#This Row],[Food Category]]/$AJ$375)</f>
        <v>0</v>
      </c>
    </row>
    <row r="170" spans="1:37" hidden="1" x14ac:dyDescent="0.3">
      <c r="A170" t="s">
        <v>33</v>
      </c>
      <c r="B170">
        <v>2017</v>
      </c>
      <c r="C170" t="s">
        <v>42</v>
      </c>
      <c r="D170">
        <v>133.6</v>
      </c>
      <c r="E170">
        <v>143</v>
      </c>
      <c r="F170">
        <v>129.69999999999999</v>
      </c>
      <c r="G170">
        <v>138.69999999999999</v>
      </c>
      <c r="H170">
        <v>114.5</v>
      </c>
      <c r="I170">
        <v>137.5</v>
      </c>
      <c r="J170">
        <v>160.69999999999999</v>
      </c>
      <c r="K170">
        <v>124.5</v>
      </c>
      <c r="L170">
        <v>122.4</v>
      </c>
      <c r="M170">
        <v>137.30000000000001</v>
      </c>
      <c r="N170">
        <v>124.8</v>
      </c>
      <c r="O170">
        <v>145</v>
      </c>
      <c r="P170">
        <v>138</v>
      </c>
      <c r="Q170">
        <v>153.6</v>
      </c>
      <c r="R170">
        <v>133.30000000000001</v>
      </c>
      <c r="S170">
        <v>124.6</v>
      </c>
      <c r="T170">
        <v>132</v>
      </c>
      <c r="U170">
        <v>135.69999999999999</v>
      </c>
      <c r="V170">
        <v>120.6</v>
      </c>
      <c r="W170">
        <v>128.1</v>
      </c>
      <c r="X170">
        <v>126.1</v>
      </c>
      <c r="Y170">
        <v>115.7</v>
      </c>
      <c r="Z170">
        <v>124.5</v>
      </c>
      <c r="AA170">
        <v>135.9</v>
      </c>
      <c r="AB170">
        <v>124.4</v>
      </c>
      <c r="AC170">
        <v>124.5</v>
      </c>
      <c r="AD170">
        <v>132.4</v>
      </c>
      <c r="AE170">
        <f t="shared" si="10"/>
        <v>1481.3</v>
      </c>
      <c r="AF170">
        <f t="shared" si="11"/>
        <v>268.39999999999998</v>
      </c>
      <c r="AG170">
        <f t="shared" si="12"/>
        <v>250.5</v>
      </c>
      <c r="AH170">
        <f t="shared" si="13"/>
        <v>240.2</v>
      </c>
      <c r="AI170">
        <f t="shared" si="14"/>
        <v>910.6</v>
      </c>
      <c r="AK170" s="18">
        <f>(Table1[[#This Row],[Food Category]]/$AJ$375)</f>
        <v>0</v>
      </c>
    </row>
    <row r="171" spans="1:37" hidden="1" x14ac:dyDescent="0.3">
      <c r="A171" t="s">
        <v>34</v>
      </c>
      <c r="B171">
        <v>2017</v>
      </c>
      <c r="C171" t="s">
        <v>42</v>
      </c>
      <c r="D171">
        <v>134.69999999999999</v>
      </c>
      <c r="E171">
        <v>142.4</v>
      </c>
      <c r="F171">
        <v>130.19999999999999</v>
      </c>
      <c r="G171">
        <v>139.6</v>
      </c>
      <c r="H171">
        <v>118.4</v>
      </c>
      <c r="I171">
        <v>143</v>
      </c>
      <c r="J171">
        <v>156.6</v>
      </c>
      <c r="K171">
        <v>132.9</v>
      </c>
      <c r="L171">
        <v>121.5</v>
      </c>
      <c r="M171">
        <v>135.6</v>
      </c>
      <c r="N171">
        <v>128.80000000000001</v>
      </c>
      <c r="O171">
        <v>147.30000000000001</v>
      </c>
      <c r="P171">
        <v>139</v>
      </c>
      <c r="Q171">
        <v>150.80000000000001</v>
      </c>
      <c r="R171">
        <v>141.1</v>
      </c>
      <c r="S171">
        <v>133.4</v>
      </c>
      <c r="T171">
        <v>140</v>
      </c>
      <c r="U171">
        <v>135.69999999999999</v>
      </c>
      <c r="V171">
        <v>131</v>
      </c>
      <c r="W171">
        <v>133.30000000000001</v>
      </c>
      <c r="X171">
        <v>130.6</v>
      </c>
      <c r="Y171">
        <v>118.3</v>
      </c>
      <c r="Z171">
        <v>127.9</v>
      </c>
      <c r="AA171">
        <v>137.4</v>
      </c>
      <c r="AB171">
        <v>125.7</v>
      </c>
      <c r="AC171">
        <v>127.5</v>
      </c>
      <c r="AD171">
        <v>135.19999999999999</v>
      </c>
      <c r="AE171">
        <f t="shared" si="10"/>
        <v>1500.1999999999998</v>
      </c>
      <c r="AF171">
        <f t="shared" si="11"/>
        <v>269.79999999999995</v>
      </c>
      <c r="AG171">
        <f t="shared" si="12"/>
        <v>256.3</v>
      </c>
      <c r="AH171">
        <f t="shared" si="13"/>
        <v>246.2</v>
      </c>
      <c r="AI171">
        <f t="shared" si="14"/>
        <v>931.8</v>
      </c>
      <c r="AK171" s="18">
        <f>(Table1[[#This Row],[Food Category]]/$AJ$375)</f>
        <v>0</v>
      </c>
    </row>
    <row r="172" spans="1:37" hidden="1" x14ac:dyDescent="0.3">
      <c r="A172" t="s">
        <v>30</v>
      </c>
      <c r="B172">
        <v>2017</v>
      </c>
      <c r="C172" t="s">
        <v>43</v>
      </c>
      <c r="D172">
        <v>135.9</v>
      </c>
      <c r="E172">
        <v>141.9</v>
      </c>
      <c r="F172">
        <v>131</v>
      </c>
      <c r="G172">
        <v>141.5</v>
      </c>
      <c r="H172">
        <v>121.4</v>
      </c>
      <c r="I172">
        <v>146.69999999999999</v>
      </c>
      <c r="J172">
        <v>157.1</v>
      </c>
      <c r="K172">
        <v>136.4</v>
      </c>
      <c r="L172">
        <v>121.4</v>
      </c>
      <c r="M172">
        <v>135.6</v>
      </c>
      <c r="N172">
        <v>131.30000000000001</v>
      </c>
      <c r="O172">
        <v>150.30000000000001</v>
      </c>
      <c r="P172">
        <v>140.4</v>
      </c>
      <c r="Q172">
        <v>150.5</v>
      </c>
      <c r="R172">
        <v>147.19999999999999</v>
      </c>
      <c r="S172">
        <v>140.6</v>
      </c>
      <c r="T172">
        <v>146.19999999999999</v>
      </c>
      <c r="U172" t="s">
        <v>32</v>
      </c>
      <c r="V172">
        <v>138.1</v>
      </c>
      <c r="W172">
        <v>138.4</v>
      </c>
      <c r="X172">
        <v>134.19999999999999</v>
      </c>
      <c r="Y172">
        <v>121</v>
      </c>
      <c r="Z172">
        <v>133</v>
      </c>
      <c r="AA172">
        <v>140.1</v>
      </c>
      <c r="AB172">
        <v>127.4</v>
      </c>
      <c r="AC172">
        <v>130.69999999999999</v>
      </c>
      <c r="AD172">
        <v>138.30000000000001</v>
      </c>
      <c r="AE172">
        <f t="shared" si="10"/>
        <v>1518.4</v>
      </c>
      <c r="AF172">
        <f t="shared" si="11"/>
        <v>272.5</v>
      </c>
      <c r="AG172">
        <f t="shared" si="12"/>
        <v>261.60000000000002</v>
      </c>
      <c r="AH172">
        <f t="shared" si="13"/>
        <v>254</v>
      </c>
      <c r="AI172">
        <f t="shared" si="14"/>
        <v>817</v>
      </c>
      <c r="AK172" s="18">
        <f>(Table1[[#This Row],[Food Category]]/$AJ$375)</f>
        <v>0</v>
      </c>
    </row>
    <row r="173" spans="1:37" hidden="1" x14ac:dyDescent="0.3">
      <c r="A173" t="s">
        <v>33</v>
      </c>
      <c r="B173">
        <v>2017</v>
      </c>
      <c r="C173" t="s">
        <v>43</v>
      </c>
      <c r="D173">
        <v>133.9</v>
      </c>
      <c r="E173">
        <v>142.80000000000001</v>
      </c>
      <c r="F173">
        <v>131.4</v>
      </c>
      <c r="G173">
        <v>139.1</v>
      </c>
      <c r="H173">
        <v>114.9</v>
      </c>
      <c r="I173">
        <v>135.6</v>
      </c>
      <c r="J173">
        <v>173.2</v>
      </c>
      <c r="K173">
        <v>124.1</v>
      </c>
      <c r="L173">
        <v>122.6</v>
      </c>
      <c r="M173">
        <v>137.80000000000001</v>
      </c>
      <c r="N173">
        <v>125.1</v>
      </c>
      <c r="O173">
        <v>145.5</v>
      </c>
      <c r="P173">
        <v>139.69999999999999</v>
      </c>
      <c r="Q173">
        <v>154.6</v>
      </c>
      <c r="R173">
        <v>134</v>
      </c>
      <c r="S173">
        <v>124.9</v>
      </c>
      <c r="T173">
        <v>132.6</v>
      </c>
      <c r="U173">
        <v>137.30000000000001</v>
      </c>
      <c r="V173">
        <v>122.6</v>
      </c>
      <c r="W173">
        <v>128.30000000000001</v>
      </c>
      <c r="X173">
        <v>126.6</v>
      </c>
      <c r="Y173">
        <v>115</v>
      </c>
      <c r="Z173">
        <v>124.8</v>
      </c>
      <c r="AA173">
        <v>136.30000000000001</v>
      </c>
      <c r="AB173">
        <v>124.6</v>
      </c>
      <c r="AC173">
        <v>124.5</v>
      </c>
      <c r="AD173">
        <v>133.5</v>
      </c>
      <c r="AE173">
        <f t="shared" si="10"/>
        <v>1495.2</v>
      </c>
      <c r="AF173">
        <f t="shared" si="11"/>
        <v>270.5</v>
      </c>
      <c r="AG173">
        <f t="shared" si="12"/>
        <v>251.2</v>
      </c>
      <c r="AH173">
        <f t="shared" si="13"/>
        <v>239.8</v>
      </c>
      <c r="AI173">
        <f t="shared" si="14"/>
        <v>915.8</v>
      </c>
      <c r="AK173" s="18">
        <f>(Table1[[#This Row],[Food Category]]/$AJ$375)</f>
        <v>0</v>
      </c>
    </row>
    <row r="174" spans="1:37" hidden="1" x14ac:dyDescent="0.3">
      <c r="A174" t="s">
        <v>34</v>
      </c>
      <c r="B174">
        <v>2017</v>
      </c>
      <c r="C174" t="s">
        <v>43</v>
      </c>
      <c r="D174">
        <v>135.30000000000001</v>
      </c>
      <c r="E174">
        <v>142.19999999999999</v>
      </c>
      <c r="F174">
        <v>131.19999999999999</v>
      </c>
      <c r="G174">
        <v>140.6</v>
      </c>
      <c r="H174">
        <v>119</v>
      </c>
      <c r="I174">
        <v>141.5</v>
      </c>
      <c r="J174">
        <v>162.6</v>
      </c>
      <c r="K174">
        <v>132.30000000000001</v>
      </c>
      <c r="L174">
        <v>121.8</v>
      </c>
      <c r="M174">
        <v>136.30000000000001</v>
      </c>
      <c r="N174">
        <v>128.69999999999999</v>
      </c>
      <c r="O174">
        <v>148.1</v>
      </c>
      <c r="P174">
        <v>140.1</v>
      </c>
      <c r="Q174">
        <v>151.6</v>
      </c>
      <c r="R174">
        <v>142</v>
      </c>
      <c r="S174">
        <v>134.1</v>
      </c>
      <c r="T174">
        <v>140.80000000000001</v>
      </c>
      <c r="U174">
        <v>137.30000000000001</v>
      </c>
      <c r="V174">
        <v>132.19999999999999</v>
      </c>
      <c r="W174">
        <v>133.6</v>
      </c>
      <c r="X174">
        <v>131.30000000000001</v>
      </c>
      <c r="Y174">
        <v>117.8</v>
      </c>
      <c r="Z174">
        <v>128.4</v>
      </c>
      <c r="AA174">
        <v>137.9</v>
      </c>
      <c r="AB174">
        <v>126.2</v>
      </c>
      <c r="AC174">
        <v>127.7</v>
      </c>
      <c r="AD174">
        <v>136.1</v>
      </c>
      <c r="AE174">
        <f t="shared" si="10"/>
        <v>1507.8999999999999</v>
      </c>
      <c r="AF174">
        <f t="shared" si="11"/>
        <v>271.79999999999995</v>
      </c>
      <c r="AG174">
        <f t="shared" si="12"/>
        <v>257.5</v>
      </c>
      <c r="AH174">
        <f t="shared" si="13"/>
        <v>246.2</v>
      </c>
      <c r="AI174">
        <f t="shared" si="14"/>
        <v>936.3</v>
      </c>
      <c r="AK174" s="18">
        <f>(Table1[[#This Row],[Food Category]]/$AJ$375)</f>
        <v>0</v>
      </c>
    </row>
    <row r="175" spans="1:37" hidden="1" x14ac:dyDescent="0.3">
      <c r="A175" t="s">
        <v>30</v>
      </c>
      <c r="B175">
        <v>2017</v>
      </c>
      <c r="C175" t="s">
        <v>45</v>
      </c>
      <c r="D175">
        <v>136.30000000000001</v>
      </c>
      <c r="E175">
        <v>142.5</v>
      </c>
      <c r="F175">
        <v>140.5</v>
      </c>
      <c r="G175">
        <v>141.5</v>
      </c>
      <c r="H175">
        <v>121.6</v>
      </c>
      <c r="I175">
        <v>147.30000000000001</v>
      </c>
      <c r="J175">
        <v>168</v>
      </c>
      <c r="K175">
        <v>135.80000000000001</v>
      </c>
      <c r="L175">
        <v>122.5</v>
      </c>
      <c r="M175">
        <v>136</v>
      </c>
      <c r="N175">
        <v>131.9</v>
      </c>
      <c r="O175">
        <v>151.4</v>
      </c>
      <c r="P175">
        <v>142.4</v>
      </c>
      <c r="Q175">
        <v>152.1</v>
      </c>
      <c r="R175">
        <v>148.19999999999999</v>
      </c>
      <c r="S175">
        <v>141.5</v>
      </c>
      <c r="T175">
        <v>147.30000000000001</v>
      </c>
      <c r="U175" t="s">
        <v>32</v>
      </c>
      <c r="V175">
        <v>141.1</v>
      </c>
      <c r="W175">
        <v>139.4</v>
      </c>
      <c r="X175">
        <v>135.80000000000001</v>
      </c>
      <c r="Y175">
        <v>121.6</v>
      </c>
      <c r="Z175">
        <v>133.69999999999999</v>
      </c>
      <c r="AA175">
        <v>141.5</v>
      </c>
      <c r="AB175">
        <v>128.1</v>
      </c>
      <c r="AC175">
        <v>131.69999999999999</v>
      </c>
      <c r="AD175">
        <v>140</v>
      </c>
      <c r="AE175">
        <f t="shared" si="10"/>
        <v>1535.7000000000003</v>
      </c>
      <c r="AF175">
        <f t="shared" si="11"/>
        <v>282</v>
      </c>
      <c r="AG175">
        <f t="shared" si="12"/>
        <v>263.89999999999998</v>
      </c>
      <c r="AH175">
        <f t="shared" si="13"/>
        <v>255.29999999999998</v>
      </c>
      <c r="AI175">
        <f t="shared" si="14"/>
        <v>825.90000000000009</v>
      </c>
      <c r="AK175" s="18">
        <f>(Table1[[#This Row],[Food Category]]/$AJ$375)</f>
        <v>0</v>
      </c>
    </row>
    <row r="176" spans="1:37" hidden="1" x14ac:dyDescent="0.3">
      <c r="A176" t="s">
        <v>33</v>
      </c>
      <c r="B176">
        <v>2017</v>
      </c>
      <c r="C176" t="s">
        <v>45</v>
      </c>
      <c r="D176">
        <v>134.30000000000001</v>
      </c>
      <c r="E176">
        <v>142.1</v>
      </c>
      <c r="F176">
        <v>146.69999999999999</v>
      </c>
      <c r="G176">
        <v>139.5</v>
      </c>
      <c r="H176">
        <v>115.2</v>
      </c>
      <c r="I176">
        <v>136.4</v>
      </c>
      <c r="J176">
        <v>185.2</v>
      </c>
      <c r="K176">
        <v>122.2</v>
      </c>
      <c r="L176">
        <v>123.9</v>
      </c>
      <c r="M176">
        <v>138.30000000000001</v>
      </c>
      <c r="N176">
        <v>125.4</v>
      </c>
      <c r="O176">
        <v>146</v>
      </c>
      <c r="P176">
        <v>141.5</v>
      </c>
      <c r="Q176">
        <v>156.19999999999999</v>
      </c>
      <c r="R176">
        <v>135</v>
      </c>
      <c r="S176">
        <v>125.4</v>
      </c>
      <c r="T176">
        <v>133.5</v>
      </c>
      <c r="U176">
        <v>138.6</v>
      </c>
      <c r="V176">
        <v>125.7</v>
      </c>
      <c r="W176">
        <v>128.80000000000001</v>
      </c>
      <c r="X176">
        <v>127.4</v>
      </c>
      <c r="Y176">
        <v>115.3</v>
      </c>
      <c r="Z176">
        <v>125.1</v>
      </c>
      <c r="AA176">
        <v>136.6</v>
      </c>
      <c r="AB176">
        <v>124.9</v>
      </c>
      <c r="AC176">
        <v>124.9</v>
      </c>
      <c r="AD176">
        <v>134.80000000000001</v>
      </c>
      <c r="AE176">
        <f t="shared" si="10"/>
        <v>1510.5000000000002</v>
      </c>
      <c r="AF176">
        <f t="shared" si="11"/>
        <v>286.2</v>
      </c>
      <c r="AG176">
        <f t="shared" si="12"/>
        <v>252.3</v>
      </c>
      <c r="AH176">
        <f t="shared" si="13"/>
        <v>240.39999999999998</v>
      </c>
      <c r="AI176">
        <f t="shared" si="14"/>
        <v>924.3</v>
      </c>
      <c r="AK176" s="18">
        <f>(Table1[[#This Row],[Food Category]]/$AJ$375)</f>
        <v>0</v>
      </c>
    </row>
    <row r="177" spans="1:37" hidden="1" x14ac:dyDescent="0.3">
      <c r="A177" t="s">
        <v>34</v>
      </c>
      <c r="B177">
        <v>2017</v>
      </c>
      <c r="C177" t="s">
        <v>45</v>
      </c>
      <c r="D177">
        <v>135.69999999999999</v>
      </c>
      <c r="E177">
        <v>142.4</v>
      </c>
      <c r="F177">
        <v>142.9</v>
      </c>
      <c r="G177">
        <v>140.80000000000001</v>
      </c>
      <c r="H177">
        <v>119.2</v>
      </c>
      <c r="I177">
        <v>142.19999999999999</v>
      </c>
      <c r="J177">
        <v>173.8</v>
      </c>
      <c r="K177">
        <v>131.19999999999999</v>
      </c>
      <c r="L177">
        <v>123</v>
      </c>
      <c r="M177">
        <v>136.80000000000001</v>
      </c>
      <c r="N177">
        <v>129.19999999999999</v>
      </c>
      <c r="O177">
        <v>148.9</v>
      </c>
      <c r="P177">
        <v>142.1</v>
      </c>
      <c r="Q177">
        <v>153.19999999999999</v>
      </c>
      <c r="R177">
        <v>143</v>
      </c>
      <c r="S177">
        <v>134.80000000000001</v>
      </c>
      <c r="T177">
        <v>141.80000000000001</v>
      </c>
      <c r="U177">
        <v>138.6</v>
      </c>
      <c r="V177">
        <v>135.30000000000001</v>
      </c>
      <c r="W177">
        <v>134.4</v>
      </c>
      <c r="X177">
        <v>132.6</v>
      </c>
      <c r="Y177">
        <v>118.3</v>
      </c>
      <c r="Z177">
        <v>128.9</v>
      </c>
      <c r="AA177">
        <v>138.6</v>
      </c>
      <c r="AB177">
        <v>126.8</v>
      </c>
      <c r="AC177">
        <v>128.4</v>
      </c>
      <c r="AD177">
        <v>137.6</v>
      </c>
      <c r="AE177">
        <f t="shared" si="10"/>
        <v>1524.5</v>
      </c>
      <c r="AF177">
        <f t="shared" si="11"/>
        <v>283.70000000000005</v>
      </c>
      <c r="AG177">
        <f t="shared" si="12"/>
        <v>259.39999999999998</v>
      </c>
      <c r="AH177">
        <f t="shared" si="13"/>
        <v>247.2</v>
      </c>
      <c r="AI177">
        <f t="shared" si="14"/>
        <v>945.8</v>
      </c>
      <c r="AK177" s="18">
        <f>(Table1[[#This Row],[Food Category]]/$AJ$375)</f>
        <v>0</v>
      </c>
    </row>
    <row r="178" spans="1:37" hidden="1" x14ac:dyDescent="0.3">
      <c r="A178" t="s">
        <v>30</v>
      </c>
      <c r="B178">
        <v>2017</v>
      </c>
      <c r="C178" t="s">
        <v>46</v>
      </c>
      <c r="D178">
        <v>136.4</v>
      </c>
      <c r="E178">
        <v>143.69999999999999</v>
      </c>
      <c r="F178">
        <v>144.80000000000001</v>
      </c>
      <c r="G178">
        <v>141.9</v>
      </c>
      <c r="H178">
        <v>123.1</v>
      </c>
      <c r="I178">
        <v>147.19999999999999</v>
      </c>
      <c r="J178">
        <v>161</v>
      </c>
      <c r="K178">
        <v>133.80000000000001</v>
      </c>
      <c r="L178">
        <v>121.9</v>
      </c>
      <c r="M178">
        <v>135.80000000000001</v>
      </c>
      <c r="N178">
        <v>131.1</v>
      </c>
      <c r="O178">
        <v>151.4</v>
      </c>
      <c r="P178">
        <v>141.5</v>
      </c>
      <c r="Q178">
        <v>153.19999999999999</v>
      </c>
      <c r="R178">
        <v>148</v>
      </c>
      <c r="S178">
        <v>141.9</v>
      </c>
      <c r="T178">
        <v>147.19999999999999</v>
      </c>
      <c r="U178" t="s">
        <v>32</v>
      </c>
      <c r="V178">
        <v>142.6</v>
      </c>
      <c r="W178">
        <v>139.5</v>
      </c>
      <c r="X178">
        <v>136.1</v>
      </c>
      <c r="Y178">
        <v>122</v>
      </c>
      <c r="Z178">
        <v>133.4</v>
      </c>
      <c r="AA178">
        <v>141.1</v>
      </c>
      <c r="AB178">
        <v>127.8</v>
      </c>
      <c r="AC178">
        <v>131.9</v>
      </c>
      <c r="AD178">
        <v>139.80000000000001</v>
      </c>
      <c r="AE178">
        <f t="shared" si="10"/>
        <v>1526.9</v>
      </c>
      <c r="AF178">
        <f t="shared" si="11"/>
        <v>286.70000000000005</v>
      </c>
      <c r="AG178">
        <f t="shared" si="12"/>
        <v>263.89999999999998</v>
      </c>
      <c r="AH178">
        <f t="shared" si="13"/>
        <v>255.4</v>
      </c>
      <c r="AI178">
        <f t="shared" si="14"/>
        <v>829</v>
      </c>
      <c r="AK178" s="18">
        <f>(Table1[[#This Row],[Food Category]]/$AJ$375)</f>
        <v>0</v>
      </c>
    </row>
    <row r="179" spans="1:37" hidden="1" x14ac:dyDescent="0.3">
      <c r="A179" t="s">
        <v>33</v>
      </c>
      <c r="B179">
        <v>2017</v>
      </c>
      <c r="C179" t="s">
        <v>46</v>
      </c>
      <c r="D179">
        <v>134.4</v>
      </c>
      <c r="E179">
        <v>142.6</v>
      </c>
      <c r="F179">
        <v>145.9</v>
      </c>
      <c r="G179">
        <v>139.5</v>
      </c>
      <c r="H179">
        <v>115.9</v>
      </c>
      <c r="I179">
        <v>135</v>
      </c>
      <c r="J179">
        <v>163.19999999999999</v>
      </c>
      <c r="K179">
        <v>119.8</v>
      </c>
      <c r="L179">
        <v>120.7</v>
      </c>
      <c r="M179">
        <v>139.69999999999999</v>
      </c>
      <c r="N179">
        <v>125.7</v>
      </c>
      <c r="O179">
        <v>146.30000000000001</v>
      </c>
      <c r="P179">
        <v>138.80000000000001</v>
      </c>
      <c r="Q179">
        <v>157</v>
      </c>
      <c r="R179">
        <v>135.6</v>
      </c>
      <c r="S179">
        <v>125.6</v>
      </c>
      <c r="T179">
        <v>134</v>
      </c>
      <c r="U179">
        <v>139.1</v>
      </c>
      <c r="V179">
        <v>126.8</v>
      </c>
      <c r="W179">
        <v>129.30000000000001</v>
      </c>
      <c r="X179">
        <v>128.19999999999999</v>
      </c>
      <c r="Y179">
        <v>115.3</v>
      </c>
      <c r="Z179">
        <v>125.6</v>
      </c>
      <c r="AA179">
        <v>136.69999999999999</v>
      </c>
      <c r="AB179">
        <v>124.6</v>
      </c>
      <c r="AC179">
        <v>125.1</v>
      </c>
      <c r="AD179">
        <v>134.1</v>
      </c>
      <c r="AE179">
        <f t="shared" si="10"/>
        <v>1482.1</v>
      </c>
      <c r="AF179">
        <f t="shared" si="11"/>
        <v>285.39999999999998</v>
      </c>
      <c r="AG179">
        <f t="shared" si="12"/>
        <v>252.79999999999998</v>
      </c>
      <c r="AH179">
        <f t="shared" si="13"/>
        <v>240.89999999999998</v>
      </c>
      <c r="AI179">
        <f t="shared" si="14"/>
        <v>926.7</v>
      </c>
      <c r="AK179" s="18">
        <f>(Table1[[#This Row],[Food Category]]/$AJ$375)</f>
        <v>0</v>
      </c>
    </row>
    <row r="180" spans="1:37" hidden="1" x14ac:dyDescent="0.3">
      <c r="A180" t="s">
        <v>34</v>
      </c>
      <c r="B180">
        <v>2017</v>
      </c>
      <c r="C180" t="s">
        <v>46</v>
      </c>
      <c r="D180">
        <v>135.80000000000001</v>
      </c>
      <c r="E180">
        <v>143.30000000000001</v>
      </c>
      <c r="F180">
        <v>145.19999999999999</v>
      </c>
      <c r="G180">
        <v>141</v>
      </c>
      <c r="H180">
        <v>120.5</v>
      </c>
      <c r="I180">
        <v>141.5</v>
      </c>
      <c r="J180">
        <v>161.69999999999999</v>
      </c>
      <c r="K180">
        <v>129.1</v>
      </c>
      <c r="L180">
        <v>121.5</v>
      </c>
      <c r="M180">
        <v>137.1</v>
      </c>
      <c r="N180">
        <v>128.80000000000001</v>
      </c>
      <c r="O180">
        <v>149</v>
      </c>
      <c r="P180">
        <v>140.5</v>
      </c>
      <c r="Q180">
        <v>154.19999999999999</v>
      </c>
      <c r="R180">
        <v>143.1</v>
      </c>
      <c r="S180">
        <v>135.1</v>
      </c>
      <c r="T180">
        <v>142</v>
      </c>
      <c r="U180">
        <v>139.1</v>
      </c>
      <c r="V180">
        <v>136.6</v>
      </c>
      <c r="W180">
        <v>134.69999999999999</v>
      </c>
      <c r="X180">
        <v>133.1</v>
      </c>
      <c r="Y180">
        <v>118.5</v>
      </c>
      <c r="Z180">
        <v>129</v>
      </c>
      <c r="AA180">
        <v>138.5</v>
      </c>
      <c r="AB180">
        <v>126.5</v>
      </c>
      <c r="AC180">
        <v>128.6</v>
      </c>
      <c r="AD180">
        <v>137.19999999999999</v>
      </c>
      <c r="AE180">
        <f t="shared" si="10"/>
        <v>1508.8</v>
      </c>
      <c r="AF180">
        <f t="shared" si="11"/>
        <v>286.2</v>
      </c>
      <c r="AG180">
        <f t="shared" si="12"/>
        <v>259.60000000000002</v>
      </c>
      <c r="AH180">
        <f t="shared" si="13"/>
        <v>247.5</v>
      </c>
      <c r="AI180">
        <f t="shared" si="14"/>
        <v>948.89999999999986</v>
      </c>
      <c r="AK180" s="18">
        <f>(Table1[[#This Row],[Food Category]]/$AJ$375)</f>
        <v>0</v>
      </c>
    </row>
    <row r="181" spans="1:37" hidden="1" x14ac:dyDescent="0.3">
      <c r="A181" t="s">
        <v>30</v>
      </c>
      <c r="B181">
        <v>2018</v>
      </c>
      <c r="C181" t="s">
        <v>31</v>
      </c>
      <c r="D181">
        <v>136.6</v>
      </c>
      <c r="E181">
        <v>144.4</v>
      </c>
      <c r="F181">
        <v>143.80000000000001</v>
      </c>
      <c r="G181">
        <v>142</v>
      </c>
      <c r="H181">
        <v>123.2</v>
      </c>
      <c r="I181">
        <v>147.9</v>
      </c>
      <c r="J181">
        <v>152.1</v>
      </c>
      <c r="K181">
        <v>131.80000000000001</v>
      </c>
      <c r="L181">
        <v>119.5</v>
      </c>
      <c r="M181">
        <v>136</v>
      </c>
      <c r="N181">
        <v>131.19999999999999</v>
      </c>
      <c r="O181">
        <v>151.80000000000001</v>
      </c>
      <c r="P181">
        <v>140.4</v>
      </c>
      <c r="Q181">
        <v>153.6</v>
      </c>
      <c r="R181">
        <v>148.30000000000001</v>
      </c>
      <c r="S181">
        <v>142.30000000000001</v>
      </c>
      <c r="T181">
        <v>147.5</v>
      </c>
      <c r="U181" t="s">
        <v>32</v>
      </c>
      <c r="V181">
        <v>142.30000000000001</v>
      </c>
      <c r="W181">
        <v>139.80000000000001</v>
      </c>
      <c r="X181">
        <v>136</v>
      </c>
      <c r="Y181">
        <v>122.7</v>
      </c>
      <c r="Z181">
        <v>134.30000000000001</v>
      </c>
      <c r="AA181">
        <v>141.6</v>
      </c>
      <c r="AB181">
        <v>128.6</v>
      </c>
      <c r="AC181">
        <v>132.30000000000001</v>
      </c>
      <c r="AD181">
        <v>139.30000000000001</v>
      </c>
      <c r="AE181">
        <f t="shared" si="10"/>
        <v>1514.9</v>
      </c>
      <c r="AF181">
        <f t="shared" si="11"/>
        <v>285.8</v>
      </c>
      <c r="AG181">
        <f t="shared" si="12"/>
        <v>264.60000000000002</v>
      </c>
      <c r="AH181">
        <f t="shared" si="13"/>
        <v>257</v>
      </c>
      <c r="AI181">
        <f t="shared" si="14"/>
        <v>830</v>
      </c>
      <c r="AK181" s="18">
        <f>(Table1[[#This Row],[Food Category]]/$AJ$375)</f>
        <v>0</v>
      </c>
    </row>
    <row r="182" spans="1:37" hidden="1" x14ac:dyDescent="0.3">
      <c r="A182" t="s">
        <v>33</v>
      </c>
      <c r="B182">
        <v>2018</v>
      </c>
      <c r="C182" t="s">
        <v>31</v>
      </c>
      <c r="D182">
        <v>134.6</v>
      </c>
      <c r="E182">
        <v>143.69999999999999</v>
      </c>
      <c r="F182">
        <v>143.6</v>
      </c>
      <c r="G182">
        <v>139.6</v>
      </c>
      <c r="H182">
        <v>116.4</v>
      </c>
      <c r="I182">
        <v>133.80000000000001</v>
      </c>
      <c r="J182">
        <v>150.5</v>
      </c>
      <c r="K182">
        <v>118.4</v>
      </c>
      <c r="L182">
        <v>117.3</v>
      </c>
      <c r="M182">
        <v>140.5</v>
      </c>
      <c r="N182">
        <v>125.9</v>
      </c>
      <c r="O182">
        <v>146.80000000000001</v>
      </c>
      <c r="P182">
        <v>137.19999999999999</v>
      </c>
      <c r="Q182">
        <v>157.69999999999999</v>
      </c>
      <c r="R182">
        <v>136</v>
      </c>
      <c r="S182">
        <v>125.9</v>
      </c>
      <c r="T182">
        <v>134.4</v>
      </c>
      <c r="U182">
        <v>140.4</v>
      </c>
      <c r="V182">
        <v>127.3</v>
      </c>
      <c r="W182">
        <v>129.5</v>
      </c>
      <c r="X182">
        <v>129</v>
      </c>
      <c r="Y182">
        <v>116.3</v>
      </c>
      <c r="Z182">
        <v>126.2</v>
      </c>
      <c r="AA182">
        <v>137.1</v>
      </c>
      <c r="AB182">
        <v>125.5</v>
      </c>
      <c r="AC182">
        <v>125.8</v>
      </c>
      <c r="AD182">
        <v>134.1</v>
      </c>
      <c r="AE182">
        <f t="shared" si="10"/>
        <v>1465.1</v>
      </c>
      <c r="AF182">
        <f t="shared" si="11"/>
        <v>283.2</v>
      </c>
      <c r="AG182">
        <f t="shared" si="12"/>
        <v>254.5</v>
      </c>
      <c r="AH182">
        <f t="shared" si="13"/>
        <v>242.5</v>
      </c>
      <c r="AI182">
        <f t="shared" si="14"/>
        <v>931.1</v>
      </c>
      <c r="AK182" s="18">
        <f>(Table1[[#This Row],[Food Category]]/$AJ$375)</f>
        <v>0</v>
      </c>
    </row>
    <row r="183" spans="1:37" hidden="1" x14ac:dyDescent="0.3">
      <c r="A183" t="s">
        <v>34</v>
      </c>
      <c r="B183">
        <v>2018</v>
      </c>
      <c r="C183" t="s">
        <v>31</v>
      </c>
      <c r="D183">
        <v>136</v>
      </c>
      <c r="E183">
        <v>144.19999999999999</v>
      </c>
      <c r="F183">
        <v>143.69999999999999</v>
      </c>
      <c r="G183">
        <v>141.1</v>
      </c>
      <c r="H183">
        <v>120.7</v>
      </c>
      <c r="I183">
        <v>141.30000000000001</v>
      </c>
      <c r="J183">
        <v>151.6</v>
      </c>
      <c r="K183">
        <v>127.3</v>
      </c>
      <c r="L183">
        <v>118.8</v>
      </c>
      <c r="M183">
        <v>137.5</v>
      </c>
      <c r="N183">
        <v>129</v>
      </c>
      <c r="O183">
        <v>149.5</v>
      </c>
      <c r="P183">
        <v>139.19999999999999</v>
      </c>
      <c r="Q183">
        <v>154.69999999999999</v>
      </c>
      <c r="R183">
        <v>143.5</v>
      </c>
      <c r="S183">
        <v>135.5</v>
      </c>
      <c r="T183">
        <v>142.30000000000001</v>
      </c>
      <c r="U183">
        <v>140.4</v>
      </c>
      <c r="V183">
        <v>136.6</v>
      </c>
      <c r="W183">
        <v>134.9</v>
      </c>
      <c r="X183">
        <v>133.30000000000001</v>
      </c>
      <c r="Y183">
        <v>119.3</v>
      </c>
      <c r="Z183">
        <v>129.69999999999999</v>
      </c>
      <c r="AA183">
        <v>139</v>
      </c>
      <c r="AB183">
        <v>127.3</v>
      </c>
      <c r="AC183">
        <v>129.1</v>
      </c>
      <c r="AD183">
        <v>136.9</v>
      </c>
      <c r="AE183">
        <f t="shared" si="10"/>
        <v>1495.1000000000001</v>
      </c>
      <c r="AF183">
        <f t="shared" si="11"/>
        <v>284.79999999999995</v>
      </c>
      <c r="AG183">
        <f t="shared" si="12"/>
        <v>260.60000000000002</v>
      </c>
      <c r="AH183">
        <f t="shared" si="13"/>
        <v>249</v>
      </c>
      <c r="AI183">
        <f t="shared" si="14"/>
        <v>951.9</v>
      </c>
      <c r="AK183" s="18">
        <f>(Table1[[#This Row],[Food Category]]/$AJ$375)</f>
        <v>0</v>
      </c>
    </row>
    <row r="184" spans="1:37" hidden="1" x14ac:dyDescent="0.3">
      <c r="A184" t="s">
        <v>30</v>
      </c>
      <c r="B184">
        <v>2018</v>
      </c>
      <c r="C184" t="s">
        <v>35</v>
      </c>
      <c r="D184">
        <v>136.4</v>
      </c>
      <c r="E184">
        <v>143.69999999999999</v>
      </c>
      <c r="F184">
        <v>140.6</v>
      </c>
      <c r="G184">
        <v>141.5</v>
      </c>
      <c r="H184">
        <v>122.9</v>
      </c>
      <c r="I184">
        <v>149.4</v>
      </c>
      <c r="J184">
        <v>142.4</v>
      </c>
      <c r="K184">
        <v>130.19999999999999</v>
      </c>
      <c r="L184">
        <v>117.9</v>
      </c>
      <c r="M184">
        <v>135.6</v>
      </c>
      <c r="N184">
        <v>130.5</v>
      </c>
      <c r="O184">
        <v>151.69999999999999</v>
      </c>
      <c r="P184">
        <v>138.69999999999999</v>
      </c>
      <c r="Q184">
        <v>153.30000000000001</v>
      </c>
      <c r="R184">
        <v>148.69999999999999</v>
      </c>
      <c r="S184">
        <v>142.4</v>
      </c>
      <c r="T184">
        <v>147.80000000000001</v>
      </c>
      <c r="U184" t="s">
        <v>32</v>
      </c>
      <c r="V184">
        <v>142.4</v>
      </c>
      <c r="W184">
        <v>139.9</v>
      </c>
      <c r="X184">
        <v>136.19999999999999</v>
      </c>
      <c r="Y184">
        <v>123.3</v>
      </c>
      <c r="Z184">
        <v>134.30000000000001</v>
      </c>
      <c r="AA184">
        <v>141.5</v>
      </c>
      <c r="AB184">
        <v>128.80000000000001</v>
      </c>
      <c r="AC184">
        <v>132.5</v>
      </c>
      <c r="AD184">
        <v>138.5</v>
      </c>
      <c r="AE184">
        <f t="shared" si="10"/>
        <v>1499.4</v>
      </c>
      <c r="AF184">
        <f t="shared" si="11"/>
        <v>282.10000000000002</v>
      </c>
      <c r="AG184">
        <f t="shared" si="12"/>
        <v>265</v>
      </c>
      <c r="AH184">
        <f t="shared" si="13"/>
        <v>257.60000000000002</v>
      </c>
      <c r="AI184">
        <f t="shared" si="14"/>
        <v>829.9</v>
      </c>
      <c r="AK184" s="18">
        <f>(Table1[[#This Row],[Food Category]]/$AJ$375)</f>
        <v>0</v>
      </c>
    </row>
    <row r="185" spans="1:37" hidden="1" x14ac:dyDescent="0.3">
      <c r="A185" t="s">
        <v>33</v>
      </c>
      <c r="B185">
        <v>2018</v>
      </c>
      <c r="C185" t="s">
        <v>35</v>
      </c>
      <c r="D185">
        <v>134.80000000000001</v>
      </c>
      <c r="E185">
        <v>143</v>
      </c>
      <c r="F185">
        <v>139.9</v>
      </c>
      <c r="G185">
        <v>139.9</v>
      </c>
      <c r="H185">
        <v>116.2</v>
      </c>
      <c r="I185">
        <v>135.5</v>
      </c>
      <c r="J185">
        <v>136.9</v>
      </c>
      <c r="K185">
        <v>117</v>
      </c>
      <c r="L185">
        <v>115.4</v>
      </c>
      <c r="M185">
        <v>140.69999999999999</v>
      </c>
      <c r="N185">
        <v>125.9</v>
      </c>
      <c r="O185">
        <v>147.1</v>
      </c>
      <c r="P185">
        <v>135.6</v>
      </c>
      <c r="Q185">
        <v>159.30000000000001</v>
      </c>
      <c r="R185">
        <v>136.30000000000001</v>
      </c>
      <c r="S185">
        <v>126.1</v>
      </c>
      <c r="T185">
        <v>134.69999999999999</v>
      </c>
      <c r="U185">
        <v>141.30000000000001</v>
      </c>
      <c r="V185">
        <v>127.3</v>
      </c>
      <c r="W185">
        <v>129.9</v>
      </c>
      <c r="X185">
        <v>129.80000000000001</v>
      </c>
      <c r="Y185">
        <v>117.4</v>
      </c>
      <c r="Z185">
        <v>126.5</v>
      </c>
      <c r="AA185">
        <v>137.19999999999999</v>
      </c>
      <c r="AB185">
        <v>126.2</v>
      </c>
      <c r="AC185">
        <v>126.5</v>
      </c>
      <c r="AD185">
        <v>134</v>
      </c>
      <c r="AE185">
        <f t="shared" si="10"/>
        <v>1448.1</v>
      </c>
      <c r="AF185">
        <f t="shared" si="11"/>
        <v>279.8</v>
      </c>
      <c r="AG185">
        <f t="shared" si="12"/>
        <v>256</v>
      </c>
      <c r="AH185">
        <f t="shared" si="13"/>
        <v>243.9</v>
      </c>
      <c r="AI185">
        <f t="shared" si="14"/>
        <v>935.7</v>
      </c>
      <c r="AK185" s="18">
        <f>(Table1[[#This Row],[Food Category]]/$AJ$375)</f>
        <v>0</v>
      </c>
    </row>
    <row r="186" spans="1:37" hidden="1" x14ac:dyDescent="0.3">
      <c r="A186" t="s">
        <v>34</v>
      </c>
      <c r="B186">
        <v>2018</v>
      </c>
      <c r="C186" t="s">
        <v>35</v>
      </c>
      <c r="D186">
        <v>135.9</v>
      </c>
      <c r="E186">
        <v>143.5</v>
      </c>
      <c r="F186">
        <v>140.30000000000001</v>
      </c>
      <c r="G186">
        <v>140.9</v>
      </c>
      <c r="H186">
        <v>120.4</v>
      </c>
      <c r="I186">
        <v>142.9</v>
      </c>
      <c r="J186">
        <v>140.5</v>
      </c>
      <c r="K186">
        <v>125.8</v>
      </c>
      <c r="L186">
        <v>117.1</v>
      </c>
      <c r="M186">
        <v>137.30000000000001</v>
      </c>
      <c r="N186">
        <v>128.6</v>
      </c>
      <c r="O186">
        <v>149.6</v>
      </c>
      <c r="P186">
        <v>137.6</v>
      </c>
      <c r="Q186">
        <v>154.9</v>
      </c>
      <c r="R186">
        <v>143.80000000000001</v>
      </c>
      <c r="S186">
        <v>135.6</v>
      </c>
      <c r="T186">
        <v>142.6</v>
      </c>
      <c r="U186">
        <v>141.30000000000001</v>
      </c>
      <c r="V186">
        <v>136.69999999999999</v>
      </c>
      <c r="W186">
        <v>135.19999999999999</v>
      </c>
      <c r="X186">
        <v>133.80000000000001</v>
      </c>
      <c r="Y186">
        <v>120.2</v>
      </c>
      <c r="Z186">
        <v>129.9</v>
      </c>
      <c r="AA186">
        <v>139</v>
      </c>
      <c r="AB186">
        <v>127.7</v>
      </c>
      <c r="AC186">
        <v>129.6</v>
      </c>
      <c r="AD186">
        <v>136.4</v>
      </c>
      <c r="AE186">
        <f t="shared" si="10"/>
        <v>1479.1999999999996</v>
      </c>
      <c r="AF186">
        <f t="shared" si="11"/>
        <v>281.20000000000005</v>
      </c>
      <c r="AG186">
        <f t="shared" si="12"/>
        <v>261.5</v>
      </c>
      <c r="AH186">
        <f t="shared" si="13"/>
        <v>250.10000000000002</v>
      </c>
      <c r="AI186">
        <f t="shared" si="14"/>
        <v>954.30000000000007</v>
      </c>
      <c r="AK186" s="18">
        <f>(Table1[[#This Row],[Food Category]]/$AJ$375)</f>
        <v>0</v>
      </c>
    </row>
    <row r="187" spans="1:37" hidden="1" x14ac:dyDescent="0.3">
      <c r="A187" t="s">
        <v>30</v>
      </c>
      <c r="B187">
        <v>2018</v>
      </c>
      <c r="C187" t="s">
        <v>36</v>
      </c>
      <c r="D187">
        <v>136.80000000000001</v>
      </c>
      <c r="E187">
        <v>143.80000000000001</v>
      </c>
      <c r="F187">
        <v>140</v>
      </c>
      <c r="G187">
        <v>142</v>
      </c>
      <c r="H187">
        <v>123.2</v>
      </c>
      <c r="I187">
        <v>152.9</v>
      </c>
      <c r="J187">
        <v>138</v>
      </c>
      <c r="K187">
        <v>129.30000000000001</v>
      </c>
      <c r="L187">
        <v>117.1</v>
      </c>
      <c r="M187">
        <v>136.30000000000001</v>
      </c>
      <c r="N187">
        <v>131.19999999999999</v>
      </c>
      <c r="O187">
        <v>152.80000000000001</v>
      </c>
      <c r="P187">
        <v>138.6</v>
      </c>
      <c r="Q187">
        <v>155.1</v>
      </c>
      <c r="R187">
        <v>149.19999999999999</v>
      </c>
      <c r="S187">
        <v>143</v>
      </c>
      <c r="T187">
        <v>148.30000000000001</v>
      </c>
      <c r="U187" t="s">
        <v>32</v>
      </c>
      <c r="V187">
        <v>142.6</v>
      </c>
      <c r="W187">
        <v>139.9</v>
      </c>
      <c r="X187">
        <v>136.69999999999999</v>
      </c>
      <c r="Y187">
        <v>124.6</v>
      </c>
      <c r="Z187">
        <v>135.1</v>
      </c>
      <c r="AA187">
        <v>142.69999999999999</v>
      </c>
      <c r="AB187">
        <v>129.30000000000001</v>
      </c>
      <c r="AC187">
        <v>133.30000000000001</v>
      </c>
      <c r="AD187">
        <v>138.69999999999999</v>
      </c>
      <c r="AE187">
        <f t="shared" si="10"/>
        <v>1500</v>
      </c>
      <c r="AF187">
        <f t="shared" si="11"/>
        <v>282</v>
      </c>
      <c r="AG187">
        <f t="shared" si="12"/>
        <v>266</v>
      </c>
      <c r="AH187">
        <f t="shared" si="13"/>
        <v>259.7</v>
      </c>
      <c r="AI187">
        <f t="shared" si="14"/>
        <v>834.2</v>
      </c>
      <c r="AK187" s="18">
        <f>(Table1[[#This Row],[Food Category]]/$AJ$375)</f>
        <v>0</v>
      </c>
    </row>
    <row r="188" spans="1:37" hidden="1" x14ac:dyDescent="0.3">
      <c r="A188" t="s">
        <v>33</v>
      </c>
      <c r="B188">
        <v>2018</v>
      </c>
      <c r="C188" t="s">
        <v>36</v>
      </c>
      <c r="D188">
        <v>135</v>
      </c>
      <c r="E188">
        <v>143.1</v>
      </c>
      <c r="F188">
        <v>135.5</v>
      </c>
      <c r="G188">
        <v>139.9</v>
      </c>
      <c r="H188">
        <v>116.5</v>
      </c>
      <c r="I188">
        <v>138.5</v>
      </c>
      <c r="J188">
        <v>128</v>
      </c>
      <c r="K188">
        <v>115.5</v>
      </c>
      <c r="L188">
        <v>114.2</v>
      </c>
      <c r="M188">
        <v>140.69999999999999</v>
      </c>
      <c r="N188">
        <v>126.2</v>
      </c>
      <c r="O188">
        <v>147.6</v>
      </c>
      <c r="P188">
        <v>134.80000000000001</v>
      </c>
      <c r="Q188">
        <v>159.69999999999999</v>
      </c>
      <c r="R188">
        <v>136.69999999999999</v>
      </c>
      <c r="S188">
        <v>126.7</v>
      </c>
      <c r="T188">
        <v>135.19999999999999</v>
      </c>
      <c r="U188">
        <v>142</v>
      </c>
      <c r="V188">
        <v>126.4</v>
      </c>
      <c r="W188">
        <v>130.80000000000001</v>
      </c>
      <c r="X188">
        <v>130.5</v>
      </c>
      <c r="Y188">
        <v>117.8</v>
      </c>
      <c r="Z188">
        <v>126.8</v>
      </c>
      <c r="AA188">
        <v>137.80000000000001</v>
      </c>
      <c r="AB188">
        <v>126.7</v>
      </c>
      <c r="AC188">
        <v>127.1</v>
      </c>
      <c r="AD188">
        <v>134</v>
      </c>
      <c r="AE188">
        <f t="shared" si="10"/>
        <v>1440.1</v>
      </c>
      <c r="AF188">
        <f t="shared" si="11"/>
        <v>275.39999999999998</v>
      </c>
      <c r="AG188">
        <f t="shared" si="12"/>
        <v>257.2</v>
      </c>
      <c r="AH188">
        <f t="shared" si="13"/>
        <v>244.6</v>
      </c>
      <c r="AI188">
        <f t="shared" si="14"/>
        <v>937.80000000000007</v>
      </c>
      <c r="AK188" s="18">
        <f>(Table1[[#This Row],[Food Category]]/$AJ$375)</f>
        <v>0</v>
      </c>
    </row>
    <row r="189" spans="1:37" hidden="1" x14ac:dyDescent="0.3">
      <c r="A189" t="s">
        <v>34</v>
      </c>
      <c r="B189">
        <v>2018</v>
      </c>
      <c r="C189" t="s">
        <v>36</v>
      </c>
      <c r="D189">
        <v>136.19999999999999</v>
      </c>
      <c r="E189">
        <v>143.6</v>
      </c>
      <c r="F189">
        <v>138.30000000000001</v>
      </c>
      <c r="G189">
        <v>141.19999999999999</v>
      </c>
      <c r="H189">
        <v>120.7</v>
      </c>
      <c r="I189">
        <v>146.19999999999999</v>
      </c>
      <c r="J189">
        <v>134.6</v>
      </c>
      <c r="K189">
        <v>124.6</v>
      </c>
      <c r="L189">
        <v>116.1</v>
      </c>
      <c r="M189">
        <v>137.80000000000001</v>
      </c>
      <c r="N189">
        <v>129.1</v>
      </c>
      <c r="O189">
        <v>150.4</v>
      </c>
      <c r="P189">
        <v>137.19999999999999</v>
      </c>
      <c r="Q189">
        <v>156.30000000000001</v>
      </c>
      <c r="R189">
        <v>144.30000000000001</v>
      </c>
      <c r="S189">
        <v>136.19999999999999</v>
      </c>
      <c r="T189">
        <v>143.1</v>
      </c>
      <c r="U189">
        <v>142</v>
      </c>
      <c r="V189">
        <v>136.5</v>
      </c>
      <c r="W189">
        <v>135.6</v>
      </c>
      <c r="X189">
        <v>134.30000000000001</v>
      </c>
      <c r="Y189">
        <v>121</v>
      </c>
      <c r="Z189">
        <v>130.4</v>
      </c>
      <c r="AA189">
        <v>139.80000000000001</v>
      </c>
      <c r="AB189">
        <v>128.19999999999999</v>
      </c>
      <c r="AC189">
        <v>130.30000000000001</v>
      </c>
      <c r="AD189">
        <v>136.5</v>
      </c>
      <c r="AE189">
        <f t="shared" si="10"/>
        <v>1476.5</v>
      </c>
      <c r="AF189">
        <f t="shared" si="11"/>
        <v>279.5</v>
      </c>
      <c r="AG189">
        <f t="shared" si="12"/>
        <v>262.5</v>
      </c>
      <c r="AH189">
        <f t="shared" si="13"/>
        <v>251.4</v>
      </c>
      <c r="AI189">
        <f t="shared" si="14"/>
        <v>958.2</v>
      </c>
      <c r="AK189" s="18">
        <f>(Table1[[#This Row],[Food Category]]/$AJ$375)</f>
        <v>0</v>
      </c>
    </row>
    <row r="190" spans="1:37" hidden="1" x14ac:dyDescent="0.3">
      <c r="A190" t="s">
        <v>30</v>
      </c>
      <c r="B190">
        <v>2018</v>
      </c>
      <c r="C190" t="s">
        <v>37</v>
      </c>
      <c r="D190">
        <v>137.1</v>
      </c>
      <c r="E190">
        <v>144.5</v>
      </c>
      <c r="F190">
        <v>135.9</v>
      </c>
      <c r="G190">
        <v>142.4</v>
      </c>
      <c r="H190">
        <v>123.5</v>
      </c>
      <c r="I190">
        <v>156.4</v>
      </c>
      <c r="J190">
        <v>135.1</v>
      </c>
      <c r="K190">
        <v>128.4</v>
      </c>
      <c r="L190">
        <v>115.2</v>
      </c>
      <c r="M190">
        <v>137.19999999999999</v>
      </c>
      <c r="N190">
        <v>131.9</v>
      </c>
      <c r="O190">
        <v>153.80000000000001</v>
      </c>
      <c r="P190">
        <v>138.6</v>
      </c>
      <c r="Q190">
        <v>156.1</v>
      </c>
      <c r="R190">
        <v>150.1</v>
      </c>
      <c r="S190">
        <v>143.30000000000001</v>
      </c>
      <c r="T190">
        <v>149.1</v>
      </c>
      <c r="U190" t="s">
        <v>32</v>
      </c>
      <c r="V190">
        <v>143.80000000000001</v>
      </c>
      <c r="W190">
        <v>140.9</v>
      </c>
      <c r="X190">
        <v>137.6</v>
      </c>
      <c r="Y190">
        <v>125.3</v>
      </c>
      <c r="Z190">
        <v>136</v>
      </c>
      <c r="AA190">
        <v>143.69999999999999</v>
      </c>
      <c r="AB190">
        <v>130.4</v>
      </c>
      <c r="AC190">
        <v>134.19999999999999</v>
      </c>
      <c r="AD190">
        <v>139.1</v>
      </c>
      <c r="AE190">
        <f t="shared" si="10"/>
        <v>1501.7</v>
      </c>
      <c r="AF190">
        <f t="shared" si="11"/>
        <v>278.3</v>
      </c>
      <c r="AG190">
        <f t="shared" si="12"/>
        <v>268</v>
      </c>
      <c r="AH190">
        <f t="shared" si="13"/>
        <v>261.3</v>
      </c>
      <c r="AI190">
        <f t="shared" si="14"/>
        <v>839.4</v>
      </c>
      <c r="AK190" s="18">
        <f>(Table1[[#This Row],[Food Category]]/$AJ$375)</f>
        <v>0</v>
      </c>
    </row>
    <row r="191" spans="1:37" hidden="1" x14ac:dyDescent="0.3">
      <c r="A191" t="s">
        <v>33</v>
      </c>
      <c r="B191">
        <v>2018</v>
      </c>
      <c r="C191" t="s">
        <v>37</v>
      </c>
      <c r="D191">
        <v>135</v>
      </c>
      <c r="E191">
        <v>144.30000000000001</v>
      </c>
      <c r="F191">
        <v>130.80000000000001</v>
      </c>
      <c r="G191">
        <v>140.30000000000001</v>
      </c>
      <c r="H191">
        <v>116.6</v>
      </c>
      <c r="I191">
        <v>150.1</v>
      </c>
      <c r="J191">
        <v>127.6</v>
      </c>
      <c r="K191">
        <v>114</v>
      </c>
      <c r="L191">
        <v>110.6</v>
      </c>
      <c r="M191">
        <v>140.19999999999999</v>
      </c>
      <c r="N191">
        <v>126.5</v>
      </c>
      <c r="O191">
        <v>148.30000000000001</v>
      </c>
      <c r="P191">
        <v>135.69999999999999</v>
      </c>
      <c r="Q191">
        <v>159.19999999999999</v>
      </c>
      <c r="R191">
        <v>137.80000000000001</v>
      </c>
      <c r="S191">
        <v>127.4</v>
      </c>
      <c r="T191">
        <v>136.19999999999999</v>
      </c>
      <c r="U191">
        <v>142.9</v>
      </c>
      <c r="V191">
        <v>124.6</v>
      </c>
      <c r="W191">
        <v>131.80000000000001</v>
      </c>
      <c r="X191">
        <v>131.30000000000001</v>
      </c>
      <c r="Y191">
        <v>118.9</v>
      </c>
      <c r="Z191">
        <v>127.6</v>
      </c>
      <c r="AA191">
        <v>139.69999999999999</v>
      </c>
      <c r="AB191">
        <v>127.6</v>
      </c>
      <c r="AC191">
        <v>128.19999999999999</v>
      </c>
      <c r="AD191">
        <v>134.80000000000001</v>
      </c>
      <c r="AE191">
        <f t="shared" si="10"/>
        <v>1448.9</v>
      </c>
      <c r="AF191">
        <f t="shared" si="11"/>
        <v>271.10000000000002</v>
      </c>
      <c r="AG191">
        <f t="shared" si="12"/>
        <v>258.89999999999998</v>
      </c>
      <c r="AH191">
        <f t="shared" si="13"/>
        <v>246.5</v>
      </c>
      <c r="AI191">
        <f t="shared" si="14"/>
        <v>940.39999999999986</v>
      </c>
      <c r="AK191" s="18">
        <f>(Table1[[#This Row],[Food Category]]/$AJ$375)</f>
        <v>0</v>
      </c>
    </row>
    <row r="192" spans="1:37" hidden="1" x14ac:dyDescent="0.3">
      <c r="A192" t="s">
        <v>34</v>
      </c>
      <c r="B192">
        <v>2018</v>
      </c>
      <c r="C192" t="s">
        <v>37</v>
      </c>
      <c r="D192">
        <v>136.4</v>
      </c>
      <c r="E192">
        <v>144.4</v>
      </c>
      <c r="F192">
        <v>133.9</v>
      </c>
      <c r="G192">
        <v>141.6</v>
      </c>
      <c r="H192">
        <v>121</v>
      </c>
      <c r="I192">
        <v>153.5</v>
      </c>
      <c r="J192">
        <v>132.6</v>
      </c>
      <c r="K192">
        <v>123.5</v>
      </c>
      <c r="L192">
        <v>113.7</v>
      </c>
      <c r="M192">
        <v>138.19999999999999</v>
      </c>
      <c r="N192">
        <v>129.6</v>
      </c>
      <c r="O192">
        <v>151.19999999999999</v>
      </c>
      <c r="P192">
        <v>137.5</v>
      </c>
      <c r="Q192">
        <v>156.9</v>
      </c>
      <c r="R192">
        <v>145.30000000000001</v>
      </c>
      <c r="S192">
        <v>136.69999999999999</v>
      </c>
      <c r="T192">
        <v>144</v>
      </c>
      <c r="U192">
        <v>142.9</v>
      </c>
      <c r="V192">
        <v>136.5</v>
      </c>
      <c r="W192">
        <v>136.6</v>
      </c>
      <c r="X192">
        <v>135.19999999999999</v>
      </c>
      <c r="Y192">
        <v>121.9</v>
      </c>
      <c r="Z192">
        <v>131.30000000000001</v>
      </c>
      <c r="AA192">
        <v>141.4</v>
      </c>
      <c r="AB192">
        <v>129.19999999999999</v>
      </c>
      <c r="AC192">
        <v>131.30000000000001</v>
      </c>
      <c r="AD192">
        <v>137.1</v>
      </c>
      <c r="AE192">
        <f t="shared" si="10"/>
        <v>1481.6</v>
      </c>
      <c r="AF192">
        <f t="shared" si="11"/>
        <v>275.5</v>
      </c>
      <c r="AG192">
        <f t="shared" si="12"/>
        <v>264.39999999999998</v>
      </c>
      <c r="AH192">
        <f t="shared" si="13"/>
        <v>253.20000000000002</v>
      </c>
      <c r="AI192">
        <f t="shared" si="14"/>
        <v>963.19999999999993</v>
      </c>
      <c r="AK192" s="18">
        <f>(Table1[[#This Row],[Food Category]]/$AJ$375)</f>
        <v>0</v>
      </c>
    </row>
    <row r="193" spans="1:37" hidden="1" x14ac:dyDescent="0.3">
      <c r="A193" t="s">
        <v>30</v>
      </c>
      <c r="B193">
        <v>2018</v>
      </c>
      <c r="C193" t="s">
        <v>38</v>
      </c>
      <c r="D193">
        <v>137.4</v>
      </c>
      <c r="E193">
        <v>145.69999999999999</v>
      </c>
      <c r="F193">
        <v>135.5</v>
      </c>
      <c r="G193">
        <v>142.9</v>
      </c>
      <c r="H193">
        <v>123.6</v>
      </c>
      <c r="I193">
        <v>157.5</v>
      </c>
      <c r="J193">
        <v>137.80000000000001</v>
      </c>
      <c r="K193">
        <v>127.2</v>
      </c>
      <c r="L193">
        <v>111.8</v>
      </c>
      <c r="M193">
        <v>137.4</v>
      </c>
      <c r="N193">
        <v>132.19999999999999</v>
      </c>
      <c r="O193">
        <v>154.30000000000001</v>
      </c>
      <c r="P193">
        <v>139.1</v>
      </c>
      <c r="Q193">
        <v>157</v>
      </c>
      <c r="R193">
        <v>150.80000000000001</v>
      </c>
      <c r="S193">
        <v>144.1</v>
      </c>
      <c r="T193">
        <v>149.80000000000001</v>
      </c>
      <c r="U193" t="s">
        <v>32</v>
      </c>
      <c r="V193">
        <v>144.30000000000001</v>
      </c>
      <c r="W193">
        <v>141.80000000000001</v>
      </c>
      <c r="X193">
        <v>138.4</v>
      </c>
      <c r="Y193">
        <v>126.4</v>
      </c>
      <c r="Z193">
        <v>136.80000000000001</v>
      </c>
      <c r="AA193">
        <v>144.4</v>
      </c>
      <c r="AB193">
        <v>131.19999999999999</v>
      </c>
      <c r="AC193">
        <v>135.1</v>
      </c>
      <c r="AD193">
        <v>139.80000000000001</v>
      </c>
      <c r="AE193">
        <f t="shared" ref="AE193:AE256" si="15">SUM(D193,E193,H193,I193,J193,K193,L193,M193,N193,O193,P193)</f>
        <v>1504</v>
      </c>
      <c r="AF193">
        <f t="shared" ref="AF193:AF256" si="16">SUM(F193,G193)</f>
        <v>278.39999999999998</v>
      </c>
      <c r="AG193">
        <f t="shared" ref="AG193:AG256" si="17">SUM(X193,AB193)</f>
        <v>269.60000000000002</v>
      </c>
      <c r="AH193">
        <f t="shared" ref="AH193:AH256" si="18">SUM(Z193,Y193)</f>
        <v>263.20000000000005</v>
      </c>
      <c r="AI193">
        <f t="shared" ref="AI193:AI256" si="19">SUM(Q193,U193,V193,W193,Y193,AC193,AD193)</f>
        <v>844.40000000000009</v>
      </c>
      <c r="AK193" s="18">
        <f>(Table1[[#This Row],[Food Category]]/$AJ$375)</f>
        <v>0</v>
      </c>
    </row>
    <row r="194" spans="1:37" hidden="1" x14ac:dyDescent="0.3">
      <c r="A194" t="s">
        <v>33</v>
      </c>
      <c r="B194">
        <v>2018</v>
      </c>
      <c r="C194" t="s">
        <v>38</v>
      </c>
      <c r="D194">
        <v>135</v>
      </c>
      <c r="E194">
        <v>148.19999999999999</v>
      </c>
      <c r="F194">
        <v>130.5</v>
      </c>
      <c r="G194">
        <v>140.69999999999999</v>
      </c>
      <c r="H194">
        <v>116.4</v>
      </c>
      <c r="I194">
        <v>151.30000000000001</v>
      </c>
      <c r="J194">
        <v>131.4</v>
      </c>
      <c r="K194">
        <v>112.8</v>
      </c>
      <c r="L194">
        <v>105.3</v>
      </c>
      <c r="M194">
        <v>139.6</v>
      </c>
      <c r="N194">
        <v>126.6</v>
      </c>
      <c r="O194">
        <v>148.69999999999999</v>
      </c>
      <c r="P194">
        <v>136.4</v>
      </c>
      <c r="Q194">
        <v>160.30000000000001</v>
      </c>
      <c r="R194">
        <v>138.6</v>
      </c>
      <c r="S194">
        <v>127.9</v>
      </c>
      <c r="T194">
        <v>137</v>
      </c>
      <c r="U194">
        <v>143.19999999999999</v>
      </c>
      <c r="V194">
        <v>124.7</v>
      </c>
      <c r="W194">
        <v>132.5</v>
      </c>
      <c r="X194">
        <v>132</v>
      </c>
      <c r="Y194">
        <v>119.8</v>
      </c>
      <c r="Z194">
        <v>128</v>
      </c>
      <c r="AA194">
        <v>140.4</v>
      </c>
      <c r="AB194">
        <v>128.1</v>
      </c>
      <c r="AC194">
        <v>128.9</v>
      </c>
      <c r="AD194">
        <v>135.4</v>
      </c>
      <c r="AE194">
        <f t="shared" si="15"/>
        <v>1451.7</v>
      </c>
      <c r="AF194">
        <f t="shared" si="16"/>
        <v>271.2</v>
      </c>
      <c r="AG194">
        <f t="shared" si="17"/>
        <v>260.10000000000002</v>
      </c>
      <c r="AH194">
        <f t="shared" si="18"/>
        <v>247.8</v>
      </c>
      <c r="AI194">
        <f t="shared" si="19"/>
        <v>944.8</v>
      </c>
      <c r="AK194" s="18">
        <f>(Table1[[#This Row],[Food Category]]/$AJ$375)</f>
        <v>0</v>
      </c>
    </row>
    <row r="195" spans="1:37" hidden="1" x14ac:dyDescent="0.3">
      <c r="A195" t="s">
        <v>34</v>
      </c>
      <c r="B195">
        <v>2018</v>
      </c>
      <c r="C195" t="s">
        <v>38</v>
      </c>
      <c r="D195">
        <v>136.6</v>
      </c>
      <c r="E195">
        <v>146.6</v>
      </c>
      <c r="F195">
        <v>133.6</v>
      </c>
      <c r="G195">
        <v>142.1</v>
      </c>
      <c r="H195">
        <v>121</v>
      </c>
      <c r="I195">
        <v>154.6</v>
      </c>
      <c r="J195">
        <v>135.6</v>
      </c>
      <c r="K195">
        <v>122.3</v>
      </c>
      <c r="L195">
        <v>109.6</v>
      </c>
      <c r="M195">
        <v>138.1</v>
      </c>
      <c r="N195">
        <v>129.9</v>
      </c>
      <c r="O195">
        <v>151.69999999999999</v>
      </c>
      <c r="P195">
        <v>138.1</v>
      </c>
      <c r="Q195">
        <v>157.9</v>
      </c>
      <c r="R195">
        <v>146</v>
      </c>
      <c r="S195">
        <v>137.4</v>
      </c>
      <c r="T195">
        <v>144.69999999999999</v>
      </c>
      <c r="U195">
        <v>143.19999999999999</v>
      </c>
      <c r="V195">
        <v>136.9</v>
      </c>
      <c r="W195">
        <v>137.4</v>
      </c>
      <c r="X195">
        <v>136</v>
      </c>
      <c r="Y195">
        <v>122.9</v>
      </c>
      <c r="Z195">
        <v>131.80000000000001</v>
      </c>
      <c r="AA195">
        <v>142.1</v>
      </c>
      <c r="AB195">
        <v>129.9</v>
      </c>
      <c r="AC195">
        <v>132.1</v>
      </c>
      <c r="AD195">
        <v>137.80000000000001</v>
      </c>
      <c r="AE195">
        <f t="shared" si="15"/>
        <v>1484.1</v>
      </c>
      <c r="AF195">
        <f t="shared" si="16"/>
        <v>275.7</v>
      </c>
      <c r="AG195">
        <f t="shared" si="17"/>
        <v>265.89999999999998</v>
      </c>
      <c r="AH195">
        <f t="shared" si="18"/>
        <v>254.70000000000002</v>
      </c>
      <c r="AI195">
        <f t="shared" si="19"/>
        <v>968.2</v>
      </c>
      <c r="AK195" s="18">
        <f>(Table1[[#This Row],[Food Category]]/$AJ$375)</f>
        <v>0</v>
      </c>
    </row>
    <row r="196" spans="1:37" hidden="1" x14ac:dyDescent="0.3">
      <c r="A196" t="s">
        <v>30</v>
      </c>
      <c r="B196">
        <v>2018</v>
      </c>
      <c r="C196" t="s">
        <v>39</v>
      </c>
      <c r="D196">
        <v>137.6</v>
      </c>
      <c r="E196">
        <v>148.1</v>
      </c>
      <c r="F196">
        <v>136.69999999999999</v>
      </c>
      <c r="G196">
        <v>143.19999999999999</v>
      </c>
      <c r="H196">
        <v>124</v>
      </c>
      <c r="I196">
        <v>154.1</v>
      </c>
      <c r="J196">
        <v>143.5</v>
      </c>
      <c r="K196">
        <v>126</v>
      </c>
      <c r="L196">
        <v>112.4</v>
      </c>
      <c r="M196">
        <v>137.6</v>
      </c>
      <c r="N196">
        <v>132.80000000000001</v>
      </c>
      <c r="O196">
        <v>154.30000000000001</v>
      </c>
      <c r="P196">
        <v>140</v>
      </c>
      <c r="Q196">
        <v>157.30000000000001</v>
      </c>
      <c r="R196">
        <v>151.30000000000001</v>
      </c>
      <c r="S196">
        <v>144.69999999999999</v>
      </c>
      <c r="T196">
        <v>150.30000000000001</v>
      </c>
      <c r="U196" t="s">
        <v>32</v>
      </c>
      <c r="V196">
        <v>145.1</v>
      </c>
      <c r="W196">
        <v>142.19999999999999</v>
      </c>
      <c r="X196">
        <v>138.4</v>
      </c>
      <c r="Y196">
        <v>127.4</v>
      </c>
      <c r="Z196">
        <v>137.80000000000001</v>
      </c>
      <c r="AA196">
        <v>145.1</v>
      </c>
      <c r="AB196">
        <v>131.4</v>
      </c>
      <c r="AC196">
        <v>135.6</v>
      </c>
      <c r="AD196">
        <v>140.5</v>
      </c>
      <c r="AE196">
        <f t="shared" si="15"/>
        <v>1510.3999999999999</v>
      </c>
      <c r="AF196">
        <f t="shared" si="16"/>
        <v>279.89999999999998</v>
      </c>
      <c r="AG196">
        <f t="shared" si="17"/>
        <v>269.8</v>
      </c>
      <c r="AH196">
        <f t="shared" si="18"/>
        <v>265.20000000000005</v>
      </c>
      <c r="AI196">
        <f t="shared" si="19"/>
        <v>848.1</v>
      </c>
      <c r="AK196" s="18">
        <f>(Table1[[#This Row],[Food Category]]/$AJ$375)</f>
        <v>0</v>
      </c>
    </row>
    <row r="197" spans="1:37" hidden="1" x14ac:dyDescent="0.3">
      <c r="A197" t="s">
        <v>33</v>
      </c>
      <c r="B197">
        <v>2018</v>
      </c>
      <c r="C197" t="s">
        <v>39</v>
      </c>
      <c r="D197">
        <v>135.30000000000001</v>
      </c>
      <c r="E197">
        <v>149.69999999999999</v>
      </c>
      <c r="F197">
        <v>133.9</v>
      </c>
      <c r="G197">
        <v>140.80000000000001</v>
      </c>
      <c r="H197">
        <v>116.6</v>
      </c>
      <c r="I197">
        <v>152.19999999999999</v>
      </c>
      <c r="J197">
        <v>144</v>
      </c>
      <c r="K197">
        <v>112.3</v>
      </c>
      <c r="L197">
        <v>108.4</v>
      </c>
      <c r="M197">
        <v>140</v>
      </c>
      <c r="N197">
        <v>126.7</v>
      </c>
      <c r="O197">
        <v>149</v>
      </c>
      <c r="P197">
        <v>138.4</v>
      </c>
      <c r="Q197">
        <v>161</v>
      </c>
      <c r="R197">
        <v>138.9</v>
      </c>
      <c r="S197">
        <v>128.69999999999999</v>
      </c>
      <c r="T197">
        <v>137.4</v>
      </c>
      <c r="U197">
        <v>142.5</v>
      </c>
      <c r="V197">
        <v>126.5</v>
      </c>
      <c r="W197">
        <v>133.1</v>
      </c>
      <c r="X197">
        <v>132.6</v>
      </c>
      <c r="Y197">
        <v>120.4</v>
      </c>
      <c r="Z197">
        <v>128.5</v>
      </c>
      <c r="AA197">
        <v>141.19999999999999</v>
      </c>
      <c r="AB197">
        <v>128.19999999999999</v>
      </c>
      <c r="AC197">
        <v>129.5</v>
      </c>
      <c r="AD197">
        <v>136.19999999999999</v>
      </c>
      <c r="AE197">
        <f t="shared" si="15"/>
        <v>1472.6000000000001</v>
      </c>
      <c r="AF197">
        <f t="shared" si="16"/>
        <v>274.70000000000005</v>
      </c>
      <c r="AG197">
        <f t="shared" si="17"/>
        <v>260.79999999999995</v>
      </c>
      <c r="AH197">
        <f t="shared" si="18"/>
        <v>248.9</v>
      </c>
      <c r="AI197">
        <f t="shared" si="19"/>
        <v>949.2</v>
      </c>
      <c r="AK197" s="18">
        <f>(Table1[[#This Row],[Food Category]]/$AJ$375)</f>
        <v>0</v>
      </c>
    </row>
    <row r="198" spans="1:37" hidden="1" x14ac:dyDescent="0.3">
      <c r="A198" t="s">
        <v>34</v>
      </c>
      <c r="B198">
        <v>2018</v>
      </c>
      <c r="C198" t="s">
        <v>39</v>
      </c>
      <c r="D198">
        <v>136.9</v>
      </c>
      <c r="E198">
        <v>148.69999999999999</v>
      </c>
      <c r="F198">
        <v>135.6</v>
      </c>
      <c r="G198">
        <v>142.30000000000001</v>
      </c>
      <c r="H198">
        <v>121.3</v>
      </c>
      <c r="I198">
        <v>153.19999999999999</v>
      </c>
      <c r="J198">
        <v>143.69999999999999</v>
      </c>
      <c r="K198">
        <v>121.4</v>
      </c>
      <c r="L198">
        <v>111.1</v>
      </c>
      <c r="M198">
        <v>138.4</v>
      </c>
      <c r="N198">
        <v>130.30000000000001</v>
      </c>
      <c r="O198">
        <v>151.80000000000001</v>
      </c>
      <c r="P198">
        <v>139.4</v>
      </c>
      <c r="Q198">
        <v>158.30000000000001</v>
      </c>
      <c r="R198">
        <v>146.4</v>
      </c>
      <c r="S198">
        <v>138.1</v>
      </c>
      <c r="T198">
        <v>145.19999999999999</v>
      </c>
      <c r="U198">
        <v>142.5</v>
      </c>
      <c r="V198">
        <v>138.1</v>
      </c>
      <c r="W198">
        <v>137.9</v>
      </c>
      <c r="X198">
        <v>136.19999999999999</v>
      </c>
      <c r="Y198">
        <v>123.7</v>
      </c>
      <c r="Z198">
        <v>132.6</v>
      </c>
      <c r="AA198">
        <v>142.80000000000001</v>
      </c>
      <c r="AB198">
        <v>130.1</v>
      </c>
      <c r="AC198">
        <v>132.6</v>
      </c>
      <c r="AD198">
        <v>138.5</v>
      </c>
      <c r="AE198">
        <f t="shared" si="15"/>
        <v>1496.2</v>
      </c>
      <c r="AF198">
        <f t="shared" si="16"/>
        <v>277.89999999999998</v>
      </c>
      <c r="AG198">
        <f t="shared" si="17"/>
        <v>266.29999999999995</v>
      </c>
      <c r="AH198">
        <f t="shared" si="18"/>
        <v>256.3</v>
      </c>
      <c r="AI198">
        <f t="shared" si="19"/>
        <v>971.6</v>
      </c>
      <c r="AK198" s="18">
        <f>(Table1[[#This Row],[Food Category]]/$AJ$375)</f>
        <v>0</v>
      </c>
    </row>
    <row r="199" spans="1:37" hidden="1" x14ac:dyDescent="0.3">
      <c r="A199" t="s">
        <v>30</v>
      </c>
      <c r="B199">
        <v>2018</v>
      </c>
      <c r="C199" t="s">
        <v>40</v>
      </c>
      <c r="D199">
        <v>138.4</v>
      </c>
      <c r="E199">
        <v>149.30000000000001</v>
      </c>
      <c r="F199">
        <v>139.30000000000001</v>
      </c>
      <c r="G199">
        <v>143.4</v>
      </c>
      <c r="H199">
        <v>124.1</v>
      </c>
      <c r="I199">
        <v>153.30000000000001</v>
      </c>
      <c r="J199">
        <v>154.19999999999999</v>
      </c>
      <c r="K199">
        <v>126.4</v>
      </c>
      <c r="L199">
        <v>114.3</v>
      </c>
      <c r="M199">
        <v>138.19999999999999</v>
      </c>
      <c r="N199">
        <v>132.80000000000001</v>
      </c>
      <c r="O199">
        <v>154.80000000000001</v>
      </c>
      <c r="P199">
        <v>142</v>
      </c>
      <c r="Q199">
        <v>156.1</v>
      </c>
      <c r="R199">
        <v>151.5</v>
      </c>
      <c r="S199">
        <v>145.1</v>
      </c>
      <c r="T199">
        <v>150.6</v>
      </c>
      <c r="U199" t="s">
        <v>32</v>
      </c>
      <c r="V199">
        <v>146.80000000000001</v>
      </c>
      <c r="W199">
        <v>143.1</v>
      </c>
      <c r="X199">
        <v>139</v>
      </c>
      <c r="Y199">
        <v>127.5</v>
      </c>
      <c r="Z199">
        <v>138.4</v>
      </c>
      <c r="AA199">
        <v>145.80000000000001</v>
      </c>
      <c r="AB199">
        <v>131.4</v>
      </c>
      <c r="AC199">
        <v>136</v>
      </c>
      <c r="AD199">
        <v>141.80000000000001</v>
      </c>
      <c r="AE199">
        <f t="shared" si="15"/>
        <v>1527.8</v>
      </c>
      <c r="AF199">
        <f t="shared" si="16"/>
        <v>282.70000000000005</v>
      </c>
      <c r="AG199">
        <f t="shared" si="17"/>
        <v>270.39999999999998</v>
      </c>
      <c r="AH199">
        <f t="shared" si="18"/>
        <v>265.89999999999998</v>
      </c>
      <c r="AI199">
        <f t="shared" si="19"/>
        <v>851.3</v>
      </c>
      <c r="AK199" s="18">
        <f>(Table1[[#This Row],[Food Category]]/$AJ$375)</f>
        <v>0</v>
      </c>
    </row>
    <row r="200" spans="1:37" hidden="1" x14ac:dyDescent="0.3">
      <c r="A200" t="s">
        <v>33</v>
      </c>
      <c r="B200">
        <v>2018</v>
      </c>
      <c r="C200" t="s">
        <v>40</v>
      </c>
      <c r="D200">
        <v>135.6</v>
      </c>
      <c r="E200">
        <v>148.6</v>
      </c>
      <c r="F200">
        <v>139.1</v>
      </c>
      <c r="G200">
        <v>141</v>
      </c>
      <c r="H200">
        <v>116.7</v>
      </c>
      <c r="I200">
        <v>149.69999999999999</v>
      </c>
      <c r="J200">
        <v>159.19999999999999</v>
      </c>
      <c r="K200">
        <v>112.6</v>
      </c>
      <c r="L200">
        <v>111.8</v>
      </c>
      <c r="M200">
        <v>140.30000000000001</v>
      </c>
      <c r="N200">
        <v>126.8</v>
      </c>
      <c r="O200">
        <v>149.4</v>
      </c>
      <c r="P200">
        <v>140.30000000000001</v>
      </c>
      <c r="Q200">
        <v>161.4</v>
      </c>
      <c r="R200">
        <v>139.6</v>
      </c>
      <c r="S200">
        <v>128.9</v>
      </c>
      <c r="T200">
        <v>137.9</v>
      </c>
      <c r="U200">
        <v>143.6</v>
      </c>
      <c r="V200">
        <v>128.1</v>
      </c>
      <c r="W200">
        <v>133.6</v>
      </c>
      <c r="X200">
        <v>133.6</v>
      </c>
      <c r="Y200">
        <v>120.1</v>
      </c>
      <c r="Z200">
        <v>129</v>
      </c>
      <c r="AA200">
        <v>144</v>
      </c>
      <c r="AB200">
        <v>128.19999999999999</v>
      </c>
      <c r="AC200">
        <v>130.19999999999999</v>
      </c>
      <c r="AD200">
        <v>137.5</v>
      </c>
      <c r="AE200">
        <f t="shared" si="15"/>
        <v>1491</v>
      </c>
      <c r="AF200">
        <f t="shared" si="16"/>
        <v>280.10000000000002</v>
      </c>
      <c r="AG200">
        <f t="shared" si="17"/>
        <v>261.79999999999995</v>
      </c>
      <c r="AH200">
        <f t="shared" si="18"/>
        <v>249.1</v>
      </c>
      <c r="AI200">
        <f t="shared" si="19"/>
        <v>954.5</v>
      </c>
      <c r="AK200" s="18">
        <f>(Table1[[#This Row],[Food Category]]/$AJ$375)</f>
        <v>0</v>
      </c>
    </row>
    <row r="201" spans="1:37" hidden="1" x14ac:dyDescent="0.3">
      <c r="A201" t="s">
        <v>34</v>
      </c>
      <c r="B201">
        <v>2018</v>
      </c>
      <c r="C201" t="s">
        <v>40</v>
      </c>
      <c r="D201">
        <v>137.5</v>
      </c>
      <c r="E201">
        <v>149.1</v>
      </c>
      <c r="F201">
        <v>139.19999999999999</v>
      </c>
      <c r="G201">
        <v>142.5</v>
      </c>
      <c r="H201">
        <v>121.4</v>
      </c>
      <c r="I201">
        <v>151.6</v>
      </c>
      <c r="J201">
        <v>155.9</v>
      </c>
      <c r="K201">
        <v>121.7</v>
      </c>
      <c r="L201">
        <v>113.5</v>
      </c>
      <c r="M201">
        <v>138.9</v>
      </c>
      <c r="N201">
        <v>130.30000000000001</v>
      </c>
      <c r="O201">
        <v>152.30000000000001</v>
      </c>
      <c r="P201">
        <v>141.4</v>
      </c>
      <c r="Q201">
        <v>157.5</v>
      </c>
      <c r="R201">
        <v>146.80000000000001</v>
      </c>
      <c r="S201">
        <v>138.4</v>
      </c>
      <c r="T201">
        <v>145.6</v>
      </c>
      <c r="U201">
        <v>143.6</v>
      </c>
      <c r="V201">
        <v>139.69999999999999</v>
      </c>
      <c r="W201">
        <v>138.6</v>
      </c>
      <c r="X201">
        <v>137</v>
      </c>
      <c r="Y201">
        <v>123.6</v>
      </c>
      <c r="Z201">
        <v>133.1</v>
      </c>
      <c r="AA201">
        <v>144.69999999999999</v>
      </c>
      <c r="AB201">
        <v>130.1</v>
      </c>
      <c r="AC201">
        <v>133.19999999999999</v>
      </c>
      <c r="AD201">
        <v>139.80000000000001</v>
      </c>
      <c r="AE201">
        <f t="shared" si="15"/>
        <v>1513.6000000000001</v>
      </c>
      <c r="AF201">
        <f t="shared" si="16"/>
        <v>281.7</v>
      </c>
      <c r="AG201">
        <f t="shared" si="17"/>
        <v>267.10000000000002</v>
      </c>
      <c r="AH201">
        <f t="shared" si="18"/>
        <v>256.7</v>
      </c>
      <c r="AI201">
        <f t="shared" si="19"/>
        <v>976</v>
      </c>
      <c r="AK201" s="18">
        <f>(Table1[[#This Row],[Food Category]]/$AJ$375)</f>
        <v>0</v>
      </c>
    </row>
    <row r="202" spans="1:37" hidden="1" x14ac:dyDescent="0.3">
      <c r="A202" t="s">
        <v>30</v>
      </c>
      <c r="B202">
        <v>2018</v>
      </c>
      <c r="C202" t="s">
        <v>41</v>
      </c>
      <c r="D202">
        <v>139.19999999999999</v>
      </c>
      <c r="E202">
        <v>148.80000000000001</v>
      </c>
      <c r="F202">
        <v>139.1</v>
      </c>
      <c r="G202">
        <v>143.5</v>
      </c>
      <c r="H202">
        <v>125</v>
      </c>
      <c r="I202">
        <v>154.4</v>
      </c>
      <c r="J202">
        <v>156.30000000000001</v>
      </c>
      <c r="K202">
        <v>126.8</v>
      </c>
      <c r="L202">
        <v>115.4</v>
      </c>
      <c r="M202">
        <v>138.6</v>
      </c>
      <c r="N202">
        <v>133.80000000000001</v>
      </c>
      <c r="O202">
        <v>155.19999999999999</v>
      </c>
      <c r="P202">
        <v>142.69999999999999</v>
      </c>
      <c r="Q202">
        <v>156.4</v>
      </c>
      <c r="R202">
        <v>152.1</v>
      </c>
      <c r="S202">
        <v>145.80000000000001</v>
      </c>
      <c r="T202">
        <v>151.30000000000001</v>
      </c>
      <c r="U202" t="s">
        <v>32</v>
      </c>
      <c r="V202">
        <v>147.69999999999999</v>
      </c>
      <c r="W202">
        <v>143.80000000000001</v>
      </c>
      <c r="X202">
        <v>139.4</v>
      </c>
      <c r="Y202">
        <v>128.30000000000001</v>
      </c>
      <c r="Z202">
        <v>138.6</v>
      </c>
      <c r="AA202">
        <v>146.9</v>
      </c>
      <c r="AB202">
        <v>131.30000000000001</v>
      </c>
      <c r="AC202">
        <v>136.6</v>
      </c>
      <c r="AD202">
        <v>142.5</v>
      </c>
      <c r="AE202">
        <f t="shared" si="15"/>
        <v>1536.2</v>
      </c>
      <c r="AF202">
        <f t="shared" si="16"/>
        <v>282.60000000000002</v>
      </c>
      <c r="AG202">
        <f t="shared" si="17"/>
        <v>270.70000000000005</v>
      </c>
      <c r="AH202">
        <f t="shared" si="18"/>
        <v>266.89999999999998</v>
      </c>
      <c r="AI202">
        <f t="shared" si="19"/>
        <v>855.30000000000007</v>
      </c>
      <c r="AK202" s="18">
        <f>(Table1[[#This Row],[Food Category]]/$AJ$375)</f>
        <v>0</v>
      </c>
    </row>
    <row r="203" spans="1:37" hidden="1" x14ac:dyDescent="0.3">
      <c r="A203" t="s">
        <v>33</v>
      </c>
      <c r="B203">
        <v>2018</v>
      </c>
      <c r="C203" t="s">
        <v>41</v>
      </c>
      <c r="D203">
        <v>136.5</v>
      </c>
      <c r="E203">
        <v>146.4</v>
      </c>
      <c r="F203">
        <v>136.6</v>
      </c>
      <c r="G203">
        <v>141.19999999999999</v>
      </c>
      <c r="H203">
        <v>117.4</v>
      </c>
      <c r="I203">
        <v>146.30000000000001</v>
      </c>
      <c r="J203">
        <v>157.30000000000001</v>
      </c>
      <c r="K203">
        <v>113.6</v>
      </c>
      <c r="L203">
        <v>113.3</v>
      </c>
      <c r="M203">
        <v>141.1</v>
      </c>
      <c r="N203">
        <v>127.4</v>
      </c>
      <c r="O203">
        <v>150.4</v>
      </c>
      <c r="P203">
        <v>140.1</v>
      </c>
      <c r="Q203">
        <v>162.1</v>
      </c>
      <c r="R203">
        <v>140</v>
      </c>
      <c r="S203">
        <v>129</v>
      </c>
      <c r="T203">
        <v>138.30000000000001</v>
      </c>
      <c r="U203">
        <v>144.6</v>
      </c>
      <c r="V203">
        <v>129.80000000000001</v>
      </c>
      <c r="W203">
        <v>134.4</v>
      </c>
      <c r="X203">
        <v>134.9</v>
      </c>
      <c r="Y203">
        <v>120.7</v>
      </c>
      <c r="Z203">
        <v>129.80000000000001</v>
      </c>
      <c r="AA203">
        <v>145.30000000000001</v>
      </c>
      <c r="AB203">
        <v>128.30000000000001</v>
      </c>
      <c r="AC203">
        <v>131</v>
      </c>
      <c r="AD203">
        <v>138</v>
      </c>
      <c r="AE203">
        <f t="shared" si="15"/>
        <v>1489.8</v>
      </c>
      <c r="AF203">
        <f t="shared" si="16"/>
        <v>277.79999999999995</v>
      </c>
      <c r="AG203">
        <f t="shared" si="17"/>
        <v>263.20000000000005</v>
      </c>
      <c r="AH203">
        <f t="shared" si="18"/>
        <v>250.5</v>
      </c>
      <c r="AI203">
        <f t="shared" si="19"/>
        <v>960.6</v>
      </c>
      <c r="AK203" s="18">
        <f>(Table1[[#This Row],[Food Category]]/$AJ$375)</f>
        <v>0</v>
      </c>
    </row>
    <row r="204" spans="1:37" hidden="1" x14ac:dyDescent="0.3">
      <c r="A204" t="s">
        <v>34</v>
      </c>
      <c r="B204">
        <v>2018</v>
      </c>
      <c r="C204" t="s">
        <v>41</v>
      </c>
      <c r="D204">
        <v>138.30000000000001</v>
      </c>
      <c r="E204">
        <v>148</v>
      </c>
      <c r="F204">
        <v>138.1</v>
      </c>
      <c r="G204">
        <v>142.6</v>
      </c>
      <c r="H204">
        <v>122.2</v>
      </c>
      <c r="I204">
        <v>150.6</v>
      </c>
      <c r="J204">
        <v>156.6</v>
      </c>
      <c r="K204">
        <v>122.4</v>
      </c>
      <c r="L204">
        <v>114.7</v>
      </c>
      <c r="M204">
        <v>139.4</v>
      </c>
      <c r="N204">
        <v>131.1</v>
      </c>
      <c r="O204">
        <v>153</v>
      </c>
      <c r="P204">
        <v>141.69999999999999</v>
      </c>
      <c r="Q204">
        <v>157.9</v>
      </c>
      <c r="R204">
        <v>147.30000000000001</v>
      </c>
      <c r="S204">
        <v>138.80000000000001</v>
      </c>
      <c r="T204">
        <v>146.1</v>
      </c>
      <c r="U204">
        <v>144.6</v>
      </c>
      <c r="V204">
        <v>140.9</v>
      </c>
      <c r="W204">
        <v>139.4</v>
      </c>
      <c r="X204">
        <v>137.69999999999999</v>
      </c>
      <c r="Y204">
        <v>124.3</v>
      </c>
      <c r="Z204">
        <v>133.6</v>
      </c>
      <c r="AA204">
        <v>146</v>
      </c>
      <c r="AB204">
        <v>130.1</v>
      </c>
      <c r="AC204">
        <v>133.9</v>
      </c>
      <c r="AD204">
        <v>140.4</v>
      </c>
      <c r="AE204">
        <f t="shared" si="15"/>
        <v>1518</v>
      </c>
      <c r="AF204">
        <f t="shared" si="16"/>
        <v>280.7</v>
      </c>
      <c r="AG204">
        <f t="shared" si="17"/>
        <v>267.79999999999995</v>
      </c>
      <c r="AH204">
        <f t="shared" si="18"/>
        <v>257.89999999999998</v>
      </c>
      <c r="AI204">
        <f t="shared" si="19"/>
        <v>981.39999999999986</v>
      </c>
      <c r="AK204" s="18">
        <f>(Table1[[#This Row],[Food Category]]/$AJ$375)</f>
        <v>0</v>
      </c>
    </row>
    <row r="205" spans="1:37" hidden="1" x14ac:dyDescent="0.3">
      <c r="A205" t="s">
        <v>30</v>
      </c>
      <c r="B205">
        <v>2018</v>
      </c>
      <c r="C205" t="s">
        <v>42</v>
      </c>
      <c r="D205">
        <v>139.4</v>
      </c>
      <c r="E205">
        <v>147.19999999999999</v>
      </c>
      <c r="F205">
        <v>136.6</v>
      </c>
      <c r="G205">
        <v>143.69999999999999</v>
      </c>
      <c r="H205">
        <v>124.6</v>
      </c>
      <c r="I205">
        <v>150.1</v>
      </c>
      <c r="J205">
        <v>149.4</v>
      </c>
      <c r="K205">
        <v>125.4</v>
      </c>
      <c r="L205">
        <v>114.4</v>
      </c>
      <c r="M205">
        <v>138.69999999999999</v>
      </c>
      <c r="N205">
        <v>133.1</v>
      </c>
      <c r="O205">
        <v>155.9</v>
      </c>
      <c r="P205">
        <v>141.30000000000001</v>
      </c>
      <c r="Q205">
        <v>157.69999999999999</v>
      </c>
      <c r="R205">
        <v>152.1</v>
      </c>
      <c r="S205">
        <v>146.1</v>
      </c>
      <c r="T205">
        <v>151.30000000000001</v>
      </c>
      <c r="U205" t="s">
        <v>32</v>
      </c>
      <c r="V205">
        <v>149</v>
      </c>
      <c r="W205">
        <v>144</v>
      </c>
      <c r="X205">
        <v>140</v>
      </c>
      <c r="Y205">
        <v>129.9</v>
      </c>
      <c r="Z205">
        <v>140</v>
      </c>
      <c r="AA205">
        <v>147.6</v>
      </c>
      <c r="AB205">
        <v>132</v>
      </c>
      <c r="AC205">
        <v>137.4</v>
      </c>
      <c r="AD205">
        <v>142.1</v>
      </c>
      <c r="AE205">
        <f t="shared" si="15"/>
        <v>1519.5</v>
      </c>
      <c r="AF205">
        <f t="shared" si="16"/>
        <v>280.29999999999995</v>
      </c>
      <c r="AG205">
        <f t="shared" si="17"/>
        <v>272</v>
      </c>
      <c r="AH205">
        <f t="shared" si="18"/>
        <v>269.89999999999998</v>
      </c>
      <c r="AI205">
        <f t="shared" si="19"/>
        <v>860.1</v>
      </c>
      <c r="AK205" s="18">
        <f>(Table1[[#This Row],[Food Category]]/$AJ$375)</f>
        <v>0</v>
      </c>
    </row>
    <row r="206" spans="1:37" hidden="1" x14ac:dyDescent="0.3">
      <c r="A206" t="s">
        <v>33</v>
      </c>
      <c r="B206">
        <v>2018</v>
      </c>
      <c r="C206" t="s">
        <v>42</v>
      </c>
      <c r="D206">
        <v>137</v>
      </c>
      <c r="E206">
        <v>143.1</v>
      </c>
      <c r="F206">
        <v>132.80000000000001</v>
      </c>
      <c r="G206">
        <v>141.5</v>
      </c>
      <c r="H206">
        <v>117.8</v>
      </c>
      <c r="I206">
        <v>140</v>
      </c>
      <c r="J206">
        <v>151.30000000000001</v>
      </c>
      <c r="K206">
        <v>113.5</v>
      </c>
      <c r="L206">
        <v>112.3</v>
      </c>
      <c r="M206">
        <v>141.19999999999999</v>
      </c>
      <c r="N206">
        <v>127.7</v>
      </c>
      <c r="O206">
        <v>151.30000000000001</v>
      </c>
      <c r="P206">
        <v>138.9</v>
      </c>
      <c r="Q206">
        <v>163.30000000000001</v>
      </c>
      <c r="R206">
        <v>140.80000000000001</v>
      </c>
      <c r="S206">
        <v>129.30000000000001</v>
      </c>
      <c r="T206">
        <v>139.1</v>
      </c>
      <c r="U206">
        <v>145.30000000000001</v>
      </c>
      <c r="V206">
        <v>131.19999999999999</v>
      </c>
      <c r="W206">
        <v>134.9</v>
      </c>
      <c r="X206">
        <v>135.69999999999999</v>
      </c>
      <c r="Y206">
        <v>122.5</v>
      </c>
      <c r="Z206">
        <v>130.19999999999999</v>
      </c>
      <c r="AA206">
        <v>145.19999999999999</v>
      </c>
      <c r="AB206">
        <v>129.30000000000001</v>
      </c>
      <c r="AC206">
        <v>131.9</v>
      </c>
      <c r="AD206">
        <v>138.1</v>
      </c>
      <c r="AE206">
        <f t="shared" si="15"/>
        <v>1474.1000000000001</v>
      </c>
      <c r="AF206">
        <f t="shared" si="16"/>
        <v>274.3</v>
      </c>
      <c r="AG206">
        <f t="shared" si="17"/>
        <v>265</v>
      </c>
      <c r="AH206">
        <f t="shared" si="18"/>
        <v>252.7</v>
      </c>
      <c r="AI206">
        <f t="shared" si="19"/>
        <v>967.2</v>
      </c>
      <c r="AK206" s="18">
        <f>(Table1[[#This Row],[Food Category]]/$AJ$375)</f>
        <v>0</v>
      </c>
    </row>
    <row r="207" spans="1:37" hidden="1" x14ac:dyDescent="0.3">
      <c r="A207" t="s">
        <v>34</v>
      </c>
      <c r="B207">
        <v>2018</v>
      </c>
      <c r="C207" t="s">
        <v>42</v>
      </c>
      <c r="D207">
        <v>138.6</v>
      </c>
      <c r="E207">
        <v>145.80000000000001</v>
      </c>
      <c r="F207">
        <v>135.1</v>
      </c>
      <c r="G207">
        <v>142.9</v>
      </c>
      <c r="H207">
        <v>122.1</v>
      </c>
      <c r="I207">
        <v>145.4</v>
      </c>
      <c r="J207">
        <v>150</v>
      </c>
      <c r="K207">
        <v>121.4</v>
      </c>
      <c r="L207">
        <v>113.7</v>
      </c>
      <c r="M207">
        <v>139.5</v>
      </c>
      <c r="N207">
        <v>130.80000000000001</v>
      </c>
      <c r="O207">
        <v>153.80000000000001</v>
      </c>
      <c r="P207">
        <v>140.4</v>
      </c>
      <c r="Q207">
        <v>159.19999999999999</v>
      </c>
      <c r="R207">
        <v>147.69999999999999</v>
      </c>
      <c r="S207">
        <v>139.1</v>
      </c>
      <c r="T207">
        <v>146.5</v>
      </c>
      <c r="U207">
        <v>145.30000000000001</v>
      </c>
      <c r="V207">
        <v>142.30000000000001</v>
      </c>
      <c r="W207">
        <v>139.69999999999999</v>
      </c>
      <c r="X207">
        <v>138.4</v>
      </c>
      <c r="Y207">
        <v>126</v>
      </c>
      <c r="Z207">
        <v>134.5</v>
      </c>
      <c r="AA207">
        <v>146.19999999999999</v>
      </c>
      <c r="AB207">
        <v>130.9</v>
      </c>
      <c r="AC207">
        <v>134.69999999999999</v>
      </c>
      <c r="AD207">
        <v>140.19999999999999</v>
      </c>
      <c r="AE207">
        <f t="shared" si="15"/>
        <v>1501.5</v>
      </c>
      <c r="AF207">
        <f t="shared" si="16"/>
        <v>278</v>
      </c>
      <c r="AG207">
        <f t="shared" si="17"/>
        <v>269.3</v>
      </c>
      <c r="AH207">
        <f t="shared" si="18"/>
        <v>260.5</v>
      </c>
      <c r="AI207">
        <f t="shared" si="19"/>
        <v>987.40000000000009</v>
      </c>
      <c r="AK207" s="18">
        <f>(Table1[[#This Row],[Food Category]]/$AJ$375)</f>
        <v>0</v>
      </c>
    </row>
    <row r="208" spans="1:37" hidden="1" x14ac:dyDescent="0.3">
      <c r="A208" t="s">
        <v>30</v>
      </c>
      <c r="B208">
        <v>2018</v>
      </c>
      <c r="C208" t="s">
        <v>43</v>
      </c>
      <c r="D208">
        <v>139.30000000000001</v>
      </c>
      <c r="E208">
        <v>147.6</v>
      </c>
      <c r="F208">
        <v>134.6</v>
      </c>
      <c r="G208">
        <v>141.9</v>
      </c>
      <c r="H208">
        <v>123.5</v>
      </c>
      <c r="I208">
        <v>144.5</v>
      </c>
      <c r="J208">
        <v>147.6</v>
      </c>
      <c r="K208">
        <v>121.4</v>
      </c>
      <c r="L208">
        <v>112.3</v>
      </c>
      <c r="M208">
        <v>139.5</v>
      </c>
      <c r="N208">
        <v>134.6</v>
      </c>
      <c r="O208">
        <v>155.19999999999999</v>
      </c>
      <c r="P208">
        <v>140.19999999999999</v>
      </c>
      <c r="Q208">
        <v>159.6</v>
      </c>
      <c r="R208">
        <v>150.69999999999999</v>
      </c>
      <c r="S208">
        <v>144.5</v>
      </c>
      <c r="T208">
        <v>149.80000000000001</v>
      </c>
      <c r="U208" t="s">
        <v>32</v>
      </c>
      <c r="V208">
        <v>149.69999999999999</v>
      </c>
      <c r="W208">
        <v>147.5</v>
      </c>
      <c r="X208">
        <v>144.80000000000001</v>
      </c>
      <c r="Y208">
        <v>130.80000000000001</v>
      </c>
      <c r="Z208">
        <v>140.1</v>
      </c>
      <c r="AA208">
        <v>148</v>
      </c>
      <c r="AB208">
        <v>134.4</v>
      </c>
      <c r="AC208">
        <v>139.80000000000001</v>
      </c>
      <c r="AD208">
        <v>142.19999999999999</v>
      </c>
      <c r="AE208">
        <f t="shared" si="15"/>
        <v>1505.6999999999998</v>
      </c>
      <c r="AF208">
        <f t="shared" si="16"/>
        <v>276.5</v>
      </c>
      <c r="AG208">
        <f t="shared" si="17"/>
        <v>279.20000000000005</v>
      </c>
      <c r="AH208">
        <f t="shared" si="18"/>
        <v>270.89999999999998</v>
      </c>
      <c r="AI208">
        <f t="shared" si="19"/>
        <v>869.59999999999991</v>
      </c>
      <c r="AK208" s="18">
        <f>(Table1[[#This Row],[Food Category]]/$AJ$375)</f>
        <v>0</v>
      </c>
    </row>
    <row r="209" spans="1:37" hidden="1" x14ac:dyDescent="0.3">
      <c r="A209" t="s">
        <v>33</v>
      </c>
      <c r="B209">
        <v>2018</v>
      </c>
      <c r="C209" t="s">
        <v>43</v>
      </c>
      <c r="D209">
        <v>137.6</v>
      </c>
      <c r="E209">
        <v>144.9</v>
      </c>
      <c r="F209">
        <v>133.5</v>
      </c>
      <c r="G209">
        <v>141.5</v>
      </c>
      <c r="H209">
        <v>118</v>
      </c>
      <c r="I209">
        <v>139.5</v>
      </c>
      <c r="J209">
        <v>153</v>
      </c>
      <c r="K209">
        <v>113.2</v>
      </c>
      <c r="L209">
        <v>112.8</v>
      </c>
      <c r="M209">
        <v>141.1</v>
      </c>
      <c r="N209">
        <v>127.6</v>
      </c>
      <c r="O209">
        <v>152</v>
      </c>
      <c r="P209">
        <v>139.4</v>
      </c>
      <c r="Q209">
        <v>164</v>
      </c>
      <c r="R209">
        <v>141.5</v>
      </c>
      <c r="S209">
        <v>129.80000000000001</v>
      </c>
      <c r="T209">
        <v>139.69999999999999</v>
      </c>
      <c r="U209">
        <v>146.30000000000001</v>
      </c>
      <c r="V209">
        <v>133.4</v>
      </c>
      <c r="W209">
        <v>135.1</v>
      </c>
      <c r="X209">
        <v>136.19999999999999</v>
      </c>
      <c r="Y209">
        <v>123.3</v>
      </c>
      <c r="Z209">
        <v>130.69999999999999</v>
      </c>
      <c r="AA209">
        <v>145.5</v>
      </c>
      <c r="AB209">
        <v>130.4</v>
      </c>
      <c r="AC209">
        <v>132.5</v>
      </c>
      <c r="AD209">
        <v>138.9</v>
      </c>
      <c r="AE209">
        <f t="shared" si="15"/>
        <v>1479.1</v>
      </c>
      <c r="AF209">
        <f t="shared" si="16"/>
        <v>275</v>
      </c>
      <c r="AG209">
        <f t="shared" si="17"/>
        <v>266.60000000000002</v>
      </c>
      <c r="AH209">
        <f t="shared" si="18"/>
        <v>254</v>
      </c>
      <c r="AI209">
        <f t="shared" si="19"/>
        <v>973.5</v>
      </c>
      <c r="AK209" s="18">
        <f>(Table1[[#This Row],[Food Category]]/$AJ$375)</f>
        <v>0</v>
      </c>
    </row>
    <row r="210" spans="1:37" hidden="1" x14ac:dyDescent="0.3">
      <c r="A210" t="s">
        <v>34</v>
      </c>
      <c r="B210">
        <v>2018</v>
      </c>
      <c r="C210" t="s">
        <v>43</v>
      </c>
      <c r="D210">
        <v>137.4</v>
      </c>
      <c r="E210">
        <v>149.5</v>
      </c>
      <c r="F210">
        <v>137.30000000000001</v>
      </c>
      <c r="G210">
        <v>141.9</v>
      </c>
      <c r="H210">
        <v>121.1</v>
      </c>
      <c r="I210">
        <v>142.5</v>
      </c>
      <c r="J210">
        <v>146.69999999999999</v>
      </c>
      <c r="K210">
        <v>119.1</v>
      </c>
      <c r="L210">
        <v>111.9</v>
      </c>
      <c r="M210">
        <v>141</v>
      </c>
      <c r="N210">
        <v>133.6</v>
      </c>
      <c r="O210">
        <v>154.5</v>
      </c>
      <c r="P210">
        <v>139.69999999999999</v>
      </c>
      <c r="Q210">
        <v>162.6</v>
      </c>
      <c r="R210">
        <v>148</v>
      </c>
      <c r="S210">
        <v>139.19999999999999</v>
      </c>
      <c r="T210">
        <v>146.80000000000001</v>
      </c>
      <c r="U210">
        <v>146.9</v>
      </c>
      <c r="V210">
        <v>145.30000000000001</v>
      </c>
      <c r="W210">
        <v>142.19999999999999</v>
      </c>
      <c r="X210">
        <v>142.1</v>
      </c>
      <c r="Y210">
        <v>125.5</v>
      </c>
      <c r="Z210">
        <v>136.5</v>
      </c>
      <c r="AA210">
        <v>147.80000000000001</v>
      </c>
      <c r="AB210">
        <v>132</v>
      </c>
      <c r="AC210">
        <v>136.30000000000001</v>
      </c>
      <c r="AD210">
        <v>140.80000000000001</v>
      </c>
      <c r="AE210">
        <f t="shared" si="15"/>
        <v>1497</v>
      </c>
      <c r="AF210">
        <f t="shared" si="16"/>
        <v>279.20000000000005</v>
      </c>
      <c r="AG210">
        <f t="shared" si="17"/>
        <v>274.10000000000002</v>
      </c>
      <c r="AH210">
        <f t="shared" si="18"/>
        <v>262</v>
      </c>
      <c r="AI210">
        <f t="shared" si="19"/>
        <v>999.59999999999991</v>
      </c>
      <c r="AK210" s="18">
        <f>(Table1[[#This Row],[Food Category]]/$AJ$375)</f>
        <v>0</v>
      </c>
    </row>
    <row r="211" spans="1:37" hidden="1" x14ac:dyDescent="0.3">
      <c r="A211" t="s">
        <v>30</v>
      </c>
      <c r="B211">
        <v>2018</v>
      </c>
      <c r="C211" t="s">
        <v>45</v>
      </c>
      <c r="D211">
        <v>137.1</v>
      </c>
      <c r="E211">
        <v>150.80000000000001</v>
      </c>
      <c r="F211">
        <v>136.69999999999999</v>
      </c>
      <c r="G211">
        <v>141.9</v>
      </c>
      <c r="H211">
        <v>122.8</v>
      </c>
      <c r="I211">
        <v>143.9</v>
      </c>
      <c r="J211">
        <v>147.5</v>
      </c>
      <c r="K211">
        <v>121</v>
      </c>
      <c r="L211">
        <v>111.6</v>
      </c>
      <c r="M211">
        <v>140.6</v>
      </c>
      <c r="N211">
        <v>137.5</v>
      </c>
      <c r="O211">
        <v>156.1</v>
      </c>
      <c r="P211">
        <v>140</v>
      </c>
      <c r="Q211">
        <v>161.9</v>
      </c>
      <c r="R211">
        <v>151.69999999999999</v>
      </c>
      <c r="S211">
        <v>145.5</v>
      </c>
      <c r="T211">
        <v>150.80000000000001</v>
      </c>
      <c r="U211" t="s">
        <v>32</v>
      </c>
      <c r="V211">
        <v>150.30000000000001</v>
      </c>
      <c r="W211">
        <v>148</v>
      </c>
      <c r="X211">
        <v>145.4</v>
      </c>
      <c r="Y211">
        <v>130.30000000000001</v>
      </c>
      <c r="Z211">
        <v>143.1</v>
      </c>
      <c r="AA211">
        <v>150.19999999999999</v>
      </c>
      <c r="AB211">
        <v>133.1</v>
      </c>
      <c r="AC211">
        <v>140.1</v>
      </c>
      <c r="AD211">
        <v>142.4</v>
      </c>
      <c r="AE211">
        <f t="shared" si="15"/>
        <v>1508.8999999999999</v>
      </c>
      <c r="AF211">
        <f t="shared" si="16"/>
        <v>278.60000000000002</v>
      </c>
      <c r="AG211">
        <f t="shared" si="17"/>
        <v>278.5</v>
      </c>
      <c r="AH211">
        <f t="shared" si="18"/>
        <v>273.39999999999998</v>
      </c>
      <c r="AI211">
        <f t="shared" si="19"/>
        <v>873</v>
      </c>
      <c r="AK211" s="18">
        <f>(Table1[[#This Row],[Food Category]]/$AJ$375)</f>
        <v>0</v>
      </c>
    </row>
    <row r="212" spans="1:37" hidden="1" x14ac:dyDescent="0.3">
      <c r="A212" t="s">
        <v>33</v>
      </c>
      <c r="B212">
        <v>2018</v>
      </c>
      <c r="C212" t="s">
        <v>45</v>
      </c>
      <c r="D212">
        <v>138.1</v>
      </c>
      <c r="E212">
        <v>146.30000000000001</v>
      </c>
      <c r="F212">
        <v>137.80000000000001</v>
      </c>
      <c r="G212">
        <v>141.6</v>
      </c>
      <c r="H212">
        <v>118.1</v>
      </c>
      <c r="I212">
        <v>141.5</v>
      </c>
      <c r="J212">
        <v>145.19999999999999</v>
      </c>
      <c r="K212">
        <v>115.3</v>
      </c>
      <c r="L212">
        <v>112.5</v>
      </c>
      <c r="M212">
        <v>141.4</v>
      </c>
      <c r="N212">
        <v>128</v>
      </c>
      <c r="O212">
        <v>152.6</v>
      </c>
      <c r="P212">
        <v>139.1</v>
      </c>
      <c r="Q212">
        <v>164.4</v>
      </c>
      <c r="R212">
        <v>142.4</v>
      </c>
      <c r="S212">
        <v>130.19999999999999</v>
      </c>
      <c r="T212">
        <v>140.5</v>
      </c>
      <c r="U212">
        <v>146.9</v>
      </c>
      <c r="V212">
        <v>136.69999999999999</v>
      </c>
      <c r="W212">
        <v>135.80000000000001</v>
      </c>
      <c r="X212">
        <v>136.80000000000001</v>
      </c>
      <c r="Y212">
        <v>121.2</v>
      </c>
      <c r="Z212">
        <v>131.30000000000001</v>
      </c>
      <c r="AA212">
        <v>146.1</v>
      </c>
      <c r="AB212">
        <v>130.5</v>
      </c>
      <c r="AC212">
        <v>132.19999999999999</v>
      </c>
      <c r="AD212">
        <v>139</v>
      </c>
      <c r="AE212">
        <f t="shared" si="15"/>
        <v>1478.1</v>
      </c>
      <c r="AF212">
        <f t="shared" si="16"/>
        <v>279.39999999999998</v>
      </c>
      <c r="AG212">
        <f t="shared" si="17"/>
        <v>267.3</v>
      </c>
      <c r="AH212">
        <f t="shared" si="18"/>
        <v>252.5</v>
      </c>
      <c r="AI212">
        <f t="shared" si="19"/>
        <v>976.2</v>
      </c>
      <c r="AK212" s="18">
        <f>(Table1[[#This Row],[Food Category]]/$AJ$375)</f>
        <v>0</v>
      </c>
    </row>
    <row r="213" spans="1:37" hidden="1" x14ac:dyDescent="0.3">
      <c r="A213" t="s">
        <v>34</v>
      </c>
      <c r="B213">
        <v>2018</v>
      </c>
      <c r="C213" t="s">
        <v>45</v>
      </c>
      <c r="D213">
        <v>137.4</v>
      </c>
      <c r="E213">
        <v>149.19999999999999</v>
      </c>
      <c r="F213">
        <v>137.1</v>
      </c>
      <c r="G213">
        <v>141.80000000000001</v>
      </c>
      <c r="H213">
        <v>121.1</v>
      </c>
      <c r="I213">
        <v>142.80000000000001</v>
      </c>
      <c r="J213">
        <v>146.69999999999999</v>
      </c>
      <c r="K213">
        <v>119.1</v>
      </c>
      <c r="L213">
        <v>111.9</v>
      </c>
      <c r="M213">
        <v>140.9</v>
      </c>
      <c r="N213">
        <v>133.5</v>
      </c>
      <c r="O213">
        <v>154.5</v>
      </c>
      <c r="P213">
        <v>139.69999999999999</v>
      </c>
      <c r="Q213">
        <v>162.6</v>
      </c>
      <c r="R213">
        <v>148</v>
      </c>
      <c r="S213">
        <v>139.1</v>
      </c>
      <c r="T213">
        <v>146.69999999999999</v>
      </c>
      <c r="U213">
        <v>146.9</v>
      </c>
      <c r="V213">
        <v>145.1</v>
      </c>
      <c r="W213">
        <v>142.19999999999999</v>
      </c>
      <c r="X213">
        <v>142.1</v>
      </c>
      <c r="Y213">
        <v>125.5</v>
      </c>
      <c r="Z213">
        <v>136.5</v>
      </c>
      <c r="AA213">
        <v>147.80000000000001</v>
      </c>
      <c r="AB213">
        <v>132</v>
      </c>
      <c r="AC213">
        <v>136.30000000000001</v>
      </c>
      <c r="AD213">
        <v>140.80000000000001</v>
      </c>
      <c r="AE213">
        <f t="shared" si="15"/>
        <v>1496.8000000000002</v>
      </c>
      <c r="AF213">
        <f t="shared" si="16"/>
        <v>278.89999999999998</v>
      </c>
      <c r="AG213">
        <f t="shared" si="17"/>
        <v>274.10000000000002</v>
      </c>
      <c r="AH213">
        <f t="shared" si="18"/>
        <v>262</v>
      </c>
      <c r="AI213">
        <f t="shared" si="19"/>
        <v>999.39999999999986</v>
      </c>
      <c r="AK213" s="18">
        <f>(Table1[[#This Row],[Food Category]]/$AJ$375)</f>
        <v>0</v>
      </c>
    </row>
    <row r="214" spans="1:37" hidden="1" x14ac:dyDescent="0.3">
      <c r="A214" t="s">
        <v>30</v>
      </c>
      <c r="B214">
        <v>2018</v>
      </c>
      <c r="C214" t="s">
        <v>46</v>
      </c>
      <c r="D214">
        <v>137.1</v>
      </c>
      <c r="E214">
        <v>151.9</v>
      </c>
      <c r="F214">
        <v>137.4</v>
      </c>
      <c r="G214">
        <v>142.4</v>
      </c>
      <c r="H214">
        <v>124.2</v>
      </c>
      <c r="I214">
        <v>140.19999999999999</v>
      </c>
      <c r="J214">
        <v>136.6</v>
      </c>
      <c r="K214">
        <v>120.9</v>
      </c>
      <c r="L214">
        <v>109.9</v>
      </c>
      <c r="M214">
        <v>140.19999999999999</v>
      </c>
      <c r="N214">
        <v>137.80000000000001</v>
      </c>
      <c r="O214">
        <v>156</v>
      </c>
      <c r="P214">
        <v>138.5</v>
      </c>
      <c r="Q214">
        <v>162.4</v>
      </c>
      <c r="R214">
        <v>151.6</v>
      </c>
      <c r="S214">
        <v>145.9</v>
      </c>
      <c r="T214">
        <v>150.80000000000001</v>
      </c>
      <c r="U214" t="s">
        <v>32</v>
      </c>
      <c r="V214">
        <v>149</v>
      </c>
      <c r="W214">
        <v>149.5</v>
      </c>
      <c r="X214">
        <v>149.6</v>
      </c>
      <c r="Y214">
        <v>128.9</v>
      </c>
      <c r="Z214">
        <v>143.30000000000001</v>
      </c>
      <c r="AA214">
        <v>155.1</v>
      </c>
      <c r="AB214">
        <v>133.19999999999999</v>
      </c>
      <c r="AC214">
        <v>141.6</v>
      </c>
      <c r="AD214">
        <v>141.9</v>
      </c>
      <c r="AE214">
        <f t="shared" si="15"/>
        <v>1493.3</v>
      </c>
      <c r="AF214">
        <f t="shared" si="16"/>
        <v>279.8</v>
      </c>
      <c r="AG214">
        <f t="shared" si="17"/>
        <v>282.79999999999995</v>
      </c>
      <c r="AH214">
        <f t="shared" si="18"/>
        <v>272.20000000000005</v>
      </c>
      <c r="AI214">
        <f t="shared" si="19"/>
        <v>873.3</v>
      </c>
      <c r="AK214" s="18">
        <f>(Table1[[#This Row],[Food Category]]/$AJ$375)</f>
        <v>0</v>
      </c>
    </row>
    <row r="215" spans="1:37" hidden="1" x14ac:dyDescent="0.3">
      <c r="A215" t="s">
        <v>33</v>
      </c>
      <c r="B215">
        <v>2018</v>
      </c>
      <c r="C215" t="s">
        <v>46</v>
      </c>
      <c r="D215">
        <v>138.5</v>
      </c>
      <c r="E215">
        <v>147.80000000000001</v>
      </c>
      <c r="F215">
        <v>141.1</v>
      </c>
      <c r="G215">
        <v>141.6</v>
      </c>
      <c r="H215">
        <v>118.1</v>
      </c>
      <c r="I215">
        <v>138.5</v>
      </c>
      <c r="J215">
        <v>132.4</v>
      </c>
      <c r="K215">
        <v>117.5</v>
      </c>
      <c r="L215">
        <v>111</v>
      </c>
      <c r="M215">
        <v>141.5</v>
      </c>
      <c r="N215">
        <v>128.1</v>
      </c>
      <c r="O215">
        <v>152.9</v>
      </c>
      <c r="P215">
        <v>137.6</v>
      </c>
      <c r="Q215">
        <v>164.6</v>
      </c>
      <c r="R215">
        <v>142.69999999999999</v>
      </c>
      <c r="S215">
        <v>130.30000000000001</v>
      </c>
      <c r="T215">
        <v>140.80000000000001</v>
      </c>
      <c r="U215">
        <v>146.5</v>
      </c>
      <c r="V215">
        <v>132.4</v>
      </c>
      <c r="W215">
        <v>136.19999999999999</v>
      </c>
      <c r="X215">
        <v>137.30000000000001</v>
      </c>
      <c r="Y215">
        <v>118.8</v>
      </c>
      <c r="Z215">
        <v>131.69999999999999</v>
      </c>
      <c r="AA215">
        <v>146.5</v>
      </c>
      <c r="AB215">
        <v>130.80000000000001</v>
      </c>
      <c r="AC215">
        <v>131.69999999999999</v>
      </c>
      <c r="AD215">
        <v>138</v>
      </c>
      <c r="AE215">
        <f t="shared" si="15"/>
        <v>1463.8999999999999</v>
      </c>
      <c r="AF215">
        <f t="shared" si="16"/>
        <v>282.7</v>
      </c>
      <c r="AG215">
        <f t="shared" si="17"/>
        <v>268.10000000000002</v>
      </c>
      <c r="AH215">
        <f t="shared" si="18"/>
        <v>250.5</v>
      </c>
      <c r="AI215">
        <f t="shared" si="19"/>
        <v>968.2</v>
      </c>
      <c r="AK215" s="18">
        <f>(Table1[[#This Row],[Food Category]]/$AJ$375)</f>
        <v>0</v>
      </c>
    </row>
    <row r="216" spans="1:37" hidden="1" x14ac:dyDescent="0.3">
      <c r="A216" t="s">
        <v>34</v>
      </c>
      <c r="B216">
        <v>2018</v>
      </c>
      <c r="C216" t="s">
        <v>46</v>
      </c>
      <c r="D216">
        <v>137.5</v>
      </c>
      <c r="E216">
        <v>150.5</v>
      </c>
      <c r="F216">
        <v>138.80000000000001</v>
      </c>
      <c r="G216">
        <v>142.1</v>
      </c>
      <c r="H216">
        <v>122</v>
      </c>
      <c r="I216">
        <v>139.4</v>
      </c>
      <c r="J216">
        <v>135.19999999999999</v>
      </c>
      <c r="K216">
        <v>119.8</v>
      </c>
      <c r="L216">
        <v>110.3</v>
      </c>
      <c r="M216">
        <v>140.6</v>
      </c>
      <c r="N216">
        <v>133.80000000000001</v>
      </c>
      <c r="O216">
        <v>154.6</v>
      </c>
      <c r="P216">
        <v>138.19999999999999</v>
      </c>
      <c r="Q216">
        <v>163</v>
      </c>
      <c r="R216">
        <v>148.1</v>
      </c>
      <c r="S216">
        <v>139.4</v>
      </c>
      <c r="T216">
        <v>146.80000000000001</v>
      </c>
      <c r="U216">
        <v>146.5</v>
      </c>
      <c r="V216">
        <v>142.69999999999999</v>
      </c>
      <c r="W216">
        <v>143.19999999999999</v>
      </c>
      <c r="X216">
        <v>144.9</v>
      </c>
      <c r="Y216">
        <v>123.6</v>
      </c>
      <c r="Z216">
        <v>136.80000000000001</v>
      </c>
      <c r="AA216">
        <v>150.1</v>
      </c>
      <c r="AB216">
        <v>132.19999999999999</v>
      </c>
      <c r="AC216">
        <v>136.80000000000001</v>
      </c>
      <c r="AD216">
        <v>140.1</v>
      </c>
      <c r="AE216">
        <f t="shared" si="15"/>
        <v>1481.8999999999996</v>
      </c>
      <c r="AF216">
        <f t="shared" si="16"/>
        <v>280.89999999999998</v>
      </c>
      <c r="AG216">
        <f t="shared" si="17"/>
        <v>277.10000000000002</v>
      </c>
      <c r="AH216">
        <f t="shared" si="18"/>
        <v>260.39999999999998</v>
      </c>
      <c r="AI216">
        <f t="shared" si="19"/>
        <v>995.9</v>
      </c>
      <c r="AK216" s="18">
        <f>(Table1[[#This Row],[Food Category]]/$AJ$375)</f>
        <v>0</v>
      </c>
    </row>
    <row r="217" spans="1:37" hidden="1" x14ac:dyDescent="0.3">
      <c r="A217" t="s">
        <v>30</v>
      </c>
      <c r="B217">
        <v>2019</v>
      </c>
      <c r="C217" t="s">
        <v>31</v>
      </c>
      <c r="D217">
        <v>136.6</v>
      </c>
      <c r="E217">
        <v>152.5</v>
      </c>
      <c r="F217">
        <v>138.19999999999999</v>
      </c>
      <c r="G217">
        <v>142.4</v>
      </c>
      <c r="H217">
        <v>123.9</v>
      </c>
      <c r="I217">
        <v>135.5</v>
      </c>
      <c r="J217">
        <v>131.69999999999999</v>
      </c>
      <c r="K217">
        <v>121.3</v>
      </c>
      <c r="L217">
        <v>108.4</v>
      </c>
      <c r="M217">
        <v>138.9</v>
      </c>
      <c r="N217">
        <v>137</v>
      </c>
      <c r="O217">
        <v>155.80000000000001</v>
      </c>
      <c r="P217">
        <v>137.4</v>
      </c>
      <c r="Q217">
        <v>162.69999999999999</v>
      </c>
      <c r="R217">
        <v>150.6</v>
      </c>
      <c r="S217">
        <v>145.1</v>
      </c>
      <c r="T217">
        <v>149.9</v>
      </c>
      <c r="U217" t="s">
        <v>32</v>
      </c>
      <c r="V217">
        <v>146.19999999999999</v>
      </c>
      <c r="W217">
        <v>150.1</v>
      </c>
      <c r="X217">
        <v>149.6</v>
      </c>
      <c r="Y217">
        <v>128.6</v>
      </c>
      <c r="Z217">
        <v>142.9</v>
      </c>
      <c r="AA217">
        <v>155.19999999999999</v>
      </c>
      <c r="AB217">
        <v>133.5</v>
      </c>
      <c r="AC217">
        <v>141.69999999999999</v>
      </c>
      <c r="AD217">
        <v>141</v>
      </c>
      <c r="AE217">
        <f t="shared" si="15"/>
        <v>1479</v>
      </c>
      <c r="AF217">
        <f t="shared" si="16"/>
        <v>280.60000000000002</v>
      </c>
      <c r="AG217">
        <f t="shared" si="17"/>
        <v>283.10000000000002</v>
      </c>
      <c r="AH217">
        <f t="shared" si="18"/>
        <v>271.5</v>
      </c>
      <c r="AI217">
        <f t="shared" si="19"/>
        <v>870.3</v>
      </c>
      <c r="AK217" s="18">
        <f>(Table1[[#This Row],[Food Category]]/$AJ$375)</f>
        <v>0</v>
      </c>
    </row>
    <row r="218" spans="1:37" hidden="1" x14ac:dyDescent="0.3">
      <c r="A218" t="s">
        <v>33</v>
      </c>
      <c r="B218">
        <v>2019</v>
      </c>
      <c r="C218" t="s">
        <v>31</v>
      </c>
      <c r="D218">
        <v>138.30000000000001</v>
      </c>
      <c r="E218">
        <v>149.4</v>
      </c>
      <c r="F218">
        <v>143.5</v>
      </c>
      <c r="G218">
        <v>141.69999999999999</v>
      </c>
      <c r="H218">
        <v>118.1</v>
      </c>
      <c r="I218">
        <v>135.19999999999999</v>
      </c>
      <c r="J218">
        <v>130.5</v>
      </c>
      <c r="K218">
        <v>118.2</v>
      </c>
      <c r="L218">
        <v>110.4</v>
      </c>
      <c r="M218">
        <v>140.4</v>
      </c>
      <c r="N218">
        <v>128.1</v>
      </c>
      <c r="O218">
        <v>153.19999999999999</v>
      </c>
      <c r="P218">
        <v>137.30000000000001</v>
      </c>
      <c r="Q218">
        <v>164.7</v>
      </c>
      <c r="R218">
        <v>143</v>
      </c>
      <c r="S218">
        <v>130.4</v>
      </c>
      <c r="T218">
        <v>141.1</v>
      </c>
      <c r="U218">
        <v>147.69999999999999</v>
      </c>
      <c r="V218">
        <v>128.6</v>
      </c>
      <c r="W218">
        <v>136.30000000000001</v>
      </c>
      <c r="X218">
        <v>137.80000000000001</v>
      </c>
      <c r="Y218">
        <v>118.6</v>
      </c>
      <c r="Z218">
        <v>131.9</v>
      </c>
      <c r="AA218">
        <v>146.6</v>
      </c>
      <c r="AB218">
        <v>131.69999999999999</v>
      </c>
      <c r="AC218">
        <v>131.80000000000001</v>
      </c>
      <c r="AD218">
        <v>138</v>
      </c>
      <c r="AE218">
        <f t="shared" si="15"/>
        <v>1459.1</v>
      </c>
      <c r="AF218">
        <f t="shared" si="16"/>
        <v>285.2</v>
      </c>
      <c r="AG218">
        <f t="shared" si="17"/>
        <v>269.5</v>
      </c>
      <c r="AH218">
        <f t="shared" si="18"/>
        <v>250.5</v>
      </c>
      <c r="AI218">
        <f t="shared" si="19"/>
        <v>965.7</v>
      </c>
      <c r="AK218" s="18">
        <f>(Table1[[#This Row],[Food Category]]/$AJ$375)</f>
        <v>0</v>
      </c>
    </row>
    <row r="219" spans="1:37" hidden="1" x14ac:dyDescent="0.3">
      <c r="A219" t="s">
        <v>34</v>
      </c>
      <c r="B219">
        <v>2019</v>
      </c>
      <c r="C219" t="s">
        <v>31</v>
      </c>
      <c r="D219">
        <v>137.1</v>
      </c>
      <c r="E219">
        <v>151.4</v>
      </c>
      <c r="F219">
        <v>140.19999999999999</v>
      </c>
      <c r="G219">
        <v>142.1</v>
      </c>
      <c r="H219">
        <v>121.8</v>
      </c>
      <c r="I219">
        <v>135.4</v>
      </c>
      <c r="J219">
        <v>131.30000000000001</v>
      </c>
      <c r="K219">
        <v>120.3</v>
      </c>
      <c r="L219">
        <v>109.1</v>
      </c>
      <c r="M219">
        <v>139.4</v>
      </c>
      <c r="N219">
        <v>133.30000000000001</v>
      </c>
      <c r="O219">
        <v>154.6</v>
      </c>
      <c r="P219">
        <v>137.4</v>
      </c>
      <c r="Q219">
        <v>163.19999999999999</v>
      </c>
      <c r="R219">
        <v>147.6</v>
      </c>
      <c r="S219">
        <v>139</v>
      </c>
      <c r="T219">
        <v>146.4</v>
      </c>
      <c r="U219">
        <v>147.69999999999999</v>
      </c>
      <c r="V219">
        <v>139.5</v>
      </c>
      <c r="W219">
        <v>143.6</v>
      </c>
      <c r="X219">
        <v>145.1</v>
      </c>
      <c r="Y219">
        <v>123.3</v>
      </c>
      <c r="Z219">
        <v>136.69999999999999</v>
      </c>
      <c r="AA219">
        <v>150.19999999999999</v>
      </c>
      <c r="AB219">
        <v>132.80000000000001</v>
      </c>
      <c r="AC219">
        <v>136.9</v>
      </c>
      <c r="AD219">
        <v>139.6</v>
      </c>
      <c r="AE219">
        <f t="shared" si="15"/>
        <v>1471.1</v>
      </c>
      <c r="AF219">
        <f t="shared" si="16"/>
        <v>282.29999999999995</v>
      </c>
      <c r="AG219">
        <f t="shared" si="17"/>
        <v>277.89999999999998</v>
      </c>
      <c r="AH219">
        <f t="shared" si="18"/>
        <v>260</v>
      </c>
      <c r="AI219">
        <f t="shared" si="19"/>
        <v>993.8</v>
      </c>
      <c r="AK219" s="18">
        <f>(Table1[[#This Row],[Food Category]]/$AJ$375)</f>
        <v>0</v>
      </c>
    </row>
    <row r="220" spans="1:37" hidden="1" x14ac:dyDescent="0.3">
      <c r="A220" t="s">
        <v>30</v>
      </c>
      <c r="B220">
        <v>2019</v>
      </c>
      <c r="C220" t="s">
        <v>35</v>
      </c>
      <c r="D220">
        <v>136.80000000000001</v>
      </c>
      <c r="E220">
        <v>153</v>
      </c>
      <c r="F220">
        <v>139.1</v>
      </c>
      <c r="G220">
        <v>142.5</v>
      </c>
      <c r="H220">
        <v>124.1</v>
      </c>
      <c r="I220">
        <v>135.80000000000001</v>
      </c>
      <c r="J220">
        <v>128.69999999999999</v>
      </c>
      <c r="K220">
        <v>121.5</v>
      </c>
      <c r="L220">
        <v>108.3</v>
      </c>
      <c r="M220">
        <v>139.19999999999999</v>
      </c>
      <c r="N220">
        <v>137.4</v>
      </c>
      <c r="O220">
        <v>156.19999999999999</v>
      </c>
      <c r="P220">
        <v>137.19999999999999</v>
      </c>
      <c r="Q220">
        <v>162.80000000000001</v>
      </c>
      <c r="R220">
        <v>150.5</v>
      </c>
      <c r="S220">
        <v>146.1</v>
      </c>
      <c r="T220">
        <v>149.9</v>
      </c>
      <c r="U220" t="s">
        <v>32</v>
      </c>
      <c r="V220">
        <v>145.30000000000001</v>
      </c>
      <c r="W220">
        <v>150.1</v>
      </c>
      <c r="X220">
        <v>149.9</v>
      </c>
      <c r="Y220">
        <v>129.19999999999999</v>
      </c>
      <c r="Z220">
        <v>143.4</v>
      </c>
      <c r="AA220">
        <v>155.5</v>
      </c>
      <c r="AB220">
        <v>134.9</v>
      </c>
      <c r="AC220">
        <v>142.19999999999999</v>
      </c>
      <c r="AD220">
        <v>141</v>
      </c>
      <c r="AE220">
        <f t="shared" si="15"/>
        <v>1478.2000000000003</v>
      </c>
      <c r="AF220">
        <f t="shared" si="16"/>
        <v>281.60000000000002</v>
      </c>
      <c r="AG220">
        <f t="shared" si="17"/>
        <v>284.8</v>
      </c>
      <c r="AH220">
        <f t="shared" si="18"/>
        <v>272.60000000000002</v>
      </c>
      <c r="AI220">
        <f t="shared" si="19"/>
        <v>870.60000000000014</v>
      </c>
      <c r="AK220" s="18">
        <f>(Table1[[#This Row],[Food Category]]/$AJ$375)</f>
        <v>0</v>
      </c>
    </row>
    <row r="221" spans="1:37" hidden="1" x14ac:dyDescent="0.3">
      <c r="A221" t="s">
        <v>33</v>
      </c>
      <c r="B221">
        <v>2019</v>
      </c>
      <c r="C221" t="s">
        <v>35</v>
      </c>
      <c r="D221">
        <v>139.4</v>
      </c>
      <c r="E221">
        <v>150.1</v>
      </c>
      <c r="F221">
        <v>145.30000000000001</v>
      </c>
      <c r="G221">
        <v>141.69999999999999</v>
      </c>
      <c r="H221">
        <v>118.4</v>
      </c>
      <c r="I221">
        <v>137</v>
      </c>
      <c r="J221">
        <v>131.6</v>
      </c>
      <c r="K221">
        <v>119.9</v>
      </c>
      <c r="L221">
        <v>110.4</v>
      </c>
      <c r="M221">
        <v>140.80000000000001</v>
      </c>
      <c r="N221">
        <v>128.30000000000001</v>
      </c>
      <c r="O221">
        <v>153.5</v>
      </c>
      <c r="P221">
        <v>138</v>
      </c>
      <c r="Q221">
        <v>164.9</v>
      </c>
      <c r="R221">
        <v>143.30000000000001</v>
      </c>
      <c r="S221">
        <v>130.80000000000001</v>
      </c>
      <c r="T221">
        <v>141.4</v>
      </c>
      <c r="U221">
        <v>148.5</v>
      </c>
      <c r="V221">
        <v>127.1</v>
      </c>
      <c r="W221">
        <v>136.6</v>
      </c>
      <c r="X221">
        <v>138.5</v>
      </c>
      <c r="Y221">
        <v>119.2</v>
      </c>
      <c r="Z221">
        <v>132.19999999999999</v>
      </c>
      <c r="AA221">
        <v>146.6</v>
      </c>
      <c r="AB221">
        <v>133</v>
      </c>
      <c r="AC221">
        <v>132.4</v>
      </c>
      <c r="AD221">
        <v>138.6</v>
      </c>
      <c r="AE221">
        <f t="shared" si="15"/>
        <v>1467.3999999999999</v>
      </c>
      <c r="AF221">
        <f t="shared" si="16"/>
        <v>287</v>
      </c>
      <c r="AG221">
        <f t="shared" si="17"/>
        <v>271.5</v>
      </c>
      <c r="AH221">
        <f t="shared" si="18"/>
        <v>251.39999999999998</v>
      </c>
      <c r="AI221">
        <f t="shared" si="19"/>
        <v>967.30000000000007</v>
      </c>
      <c r="AK221" s="18">
        <f>(Table1[[#This Row],[Food Category]]/$AJ$375)</f>
        <v>0</v>
      </c>
    </row>
    <row r="222" spans="1:37" hidden="1" x14ac:dyDescent="0.3">
      <c r="A222" t="s">
        <v>34</v>
      </c>
      <c r="B222">
        <v>2019</v>
      </c>
      <c r="C222" t="s">
        <v>35</v>
      </c>
      <c r="D222">
        <v>137.6</v>
      </c>
      <c r="E222">
        <v>152</v>
      </c>
      <c r="F222">
        <v>141.5</v>
      </c>
      <c r="G222">
        <v>142.19999999999999</v>
      </c>
      <c r="H222">
        <v>122</v>
      </c>
      <c r="I222">
        <v>136.4</v>
      </c>
      <c r="J222">
        <v>129.69999999999999</v>
      </c>
      <c r="K222">
        <v>121</v>
      </c>
      <c r="L222">
        <v>109</v>
      </c>
      <c r="M222">
        <v>139.69999999999999</v>
      </c>
      <c r="N222">
        <v>133.6</v>
      </c>
      <c r="O222">
        <v>154.9</v>
      </c>
      <c r="P222">
        <v>137.5</v>
      </c>
      <c r="Q222">
        <v>163.4</v>
      </c>
      <c r="R222">
        <v>147.69999999999999</v>
      </c>
      <c r="S222">
        <v>139.69999999999999</v>
      </c>
      <c r="T222">
        <v>146.5</v>
      </c>
      <c r="U222">
        <v>148.5</v>
      </c>
      <c r="V222">
        <v>138.4</v>
      </c>
      <c r="W222">
        <v>143.69999999999999</v>
      </c>
      <c r="X222">
        <v>145.6</v>
      </c>
      <c r="Y222">
        <v>123.9</v>
      </c>
      <c r="Z222">
        <v>137.1</v>
      </c>
      <c r="AA222">
        <v>150.30000000000001</v>
      </c>
      <c r="AB222">
        <v>134.1</v>
      </c>
      <c r="AC222">
        <v>137.4</v>
      </c>
      <c r="AD222">
        <v>139.9</v>
      </c>
      <c r="AE222">
        <f t="shared" si="15"/>
        <v>1473.4</v>
      </c>
      <c r="AF222">
        <f t="shared" si="16"/>
        <v>283.7</v>
      </c>
      <c r="AG222">
        <f t="shared" si="17"/>
        <v>279.7</v>
      </c>
      <c r="AH222">
        <f t="shared" si="18"/>
        <v>261</v>
      </c>
      <c r="AI222">
        <f t="shared" si="19"/>
        <v>995.19999999999993</v>
      </c>
      <c r="AK222" s="18">
        <f>(Table1[[#This Row],[Food Category]]/$AJ$375)</f>
        <v>0</v>
      </c>
    </row>
    <row r="223" spans="1:37" hidden="1" x14ac:dyDescent="0.3">
      <c r="A223" t="s">
        <v>30</v>
      </c>
      <c r="B223">
        <v>2019</v>
      </c>
      <c r="C223" t="s">
        <v>36</v>
      </c>
      <c r="D223">
        <v>136.9</v>
      </c>
      <c r="E223">
        <v>154.1</v>
      </c>
      <c r="F223">
        <v>138.69999999999999</v>
      </c>
      <c r="G223">
        <v>142.5</v>
      </c>
      <c r="H223">
        <v>124.1</v>
      </c>
      <c r="I223">
        <v>136.1</v>
      </c>
      <c r="J223">
        <v>128.19999999999999</v>
      </c>
      <c r="K223">
        <v>122.3</v>
      </c>
      <c r="L223">
        <v>108.3</v>
      </c>
      <c r="M223">
        <v>138.9</v>
      </c>
      <c r="N223">
        <v>137.4</v>
      </c>
      <c r="O223">
        <v>156.4</v>
      </c>
      <c r="P223">
        <v>137.30000000000001</v>
      </c>
      <c r="Q223">
        <v>162.9</v>
      </c>
      <c r="R223">
        <v>150.80000000000001</v>
      </c>
      <c r="S223">
        <v>146.1</v>
      </c>
      <c r="T223">
        <v>150.1</v>
      </c>
      <c r="U223" t="s">
        <v>32</v>
      </c>
      <c r="V223">
        <v>146.4</v>
      </c>
      <c r="W223">
        <v>150</v>
      </c>
      <c r="X223">
        <v>150.4</v>
      </c>
      <c r="Y223">
        <v>129.9</v>
      </c>
      <c r="Z223">
        <v>143.80000000000001</v>
      </c>
      <c r="AA223">
        <v>155.5</v>
      </c>
      <c r="AB223">
        <v>134</v>
      </c>
      <c r="AC223">
        <v>142.4</v>
      </c>
      <c r="AD223">
        <v>141.19999999999999</v>
      </c>
      <c r="AE223">
        <f t="shared" si="15"/>
        <v>1480.0000000000002</v>
      </c>
      <c r="AF223">
        <f t="shared" si="16"/>
        <v>281.2</v>
      </c>
      <c r="AG223">
        <f t="shared" si="17"/>
        <v>284.39999999999998</v>
      </c>
      <c r="AH223">
        <f t="shared" si="18"/>
        <v>273.70000000000005</v>
      </c>
      <c r="AI223">
        <f t="shared" si="19"/>
        <v>872.8</v>
      </c>
      <c r="AK223" s="18">
        <f>(Table1[[#This Row],[Food Category]]/$AJ$375)</f>
        <v>0</v>
      </c>
    </row>
    <row r="224" spans="1:37" hidden="1" x14ac:dyDescent="0.3">
      <c r="A224" t="s">
        <v>33</v>
      </c>
      <c r="B224">
        <v>2019</v>
      </c>
      <c r="C224" t="s">
        <v>36</v>
      </c>
      <c r="D224">
        <v>139.69999999999999</v>
      </c>
      <c r="E224">
        <v>151.1</v>
      </c>
      <c r="F224">
        <v>142.9</v>
      </c>
      <c r="G224">
        <v>141.9</v>
      </c>
      <c r="H224">
        <v>118.4</v>
      </c>
      <c r="I224">
        <v>139.4</v>
      </c>
      <c r="J224">
        <v>141.19999999999999</v>
      </c>
      <c r="K224">
        <v>120.7</v>
      </c>
      <c r="L224">
        <v>110.4</v>
      </c>
      <c r="M224">
        <v>140.69999999999999</v>
      </c>
      <c r="N224">
        <v>128.5</v>
      </c>
      <c r="O224">
        <v>153.9</v>
      </c>
      <c r="P224">
        <v>139.6</v>
      </c>
      <c r="Q224">
        <v>165.3</v>
      </c>
      <c r="R224">
        <v>143.5</v>
      </c>
      <c r="S224">
        <v>131.19999999999999</v>
      </c>
      <c r="T224">
        <v>141.6</v>
      </c>
      <c r="U224">
        <v>149</v>
      </c>
      <c r="V224">
        <v>128.80000000000001</v>
      </c>
      <c r="W224">
        <v>136.80000000000001</v>
      </c>
      <c r="X224">
        <v>139.19999999999999</v>
      </c>
      <c r="Y224">
        <v>119.9</v>
      </c>
      <c r="Z224">
        <v>133</v>
      </c>
      <c r="AA224">
        <v>146.69999999999999</v>
      </c>
      <c r="AB224">
        <v>132.5</v>
      </c>
      <c r="AC224">
        <v>132.80000000000001</v>
      </c>
      <c r="AD224">
        <v>139.5</v>
      </c>
      <c r="AE224">
        <f t="shared" si="15"/>
        <v>1483.6</v>
      </c>
      <c r="AF224">
        <f t="shared" si="16"/>
        <v>284.8</v>
      </c>
      <c r="AG224">
        <f t="shared" si="17"/>
        <v>271.7</v>
      </c>
      <c r="AH224">
        <f t="shared" si="18"/>
        <v>252.9</v>
      </c>
      <c r="AI224">
        <f t="shared" si="19"/>
        <v>972.10000000000014</v>
      </c>
      <c r="AK224" s="18">
        <f>(Table1[[#This Row],[Food Category]]/$AJ$375)</f>
        <v>0</v>
      </c>
    </row>
    <row r="225" spans="1:37" hidden="1" x14ac:dyDescent="0.3">
      <c r="A225" t="s">
        <v>34</v>
      </c>
      <c r="B225">
        <v>2019</v>
      </c>
      <c r="C225" t="s">
        <v>36</v>
      </c>
      <c r="D225">
        <v>137.80000000000001</v>
      </c>
      <c r="E225">
        <v>153</v>
      </c>
      <c r="F225">
        <v>140.30000000000001</v>
      </c>
      <c r="G225">
        <v>142.30000000000001</v>
      </c>
      <c r="H225">
        <v>122</v>
      </c>
      <c r="I225">
        <v>137.6</v>
      </c>
      <c r="J225">
        <v>132.6</v>
      </c>
      <c r="K225">
        <v>121.8</v>
      </c>
      <c r="L225">
        <v>109</v>
      </c>
      <c r="M225">
        <v>139.5</v>
      </c>
      <c r="N225">
        <v>133.69999999999999</v>
      </c>
      <c r="O225">
        <v>155.19999999999999</v>
      </c>
      <c r="P225">
        <v>138.1</v>
      </c>
      <c r="Q225">
        <v>163.5</v>
      </c>
      <c r="R225">
        <v>147.9</v>
      </c>
      <c r="S225">
        <v>139.9</v>
      </c>
      <c r="T225">
        <v>146.69999999999999</v>
      </c>
      <c r="U225">
        <v>149</v>
      </c>
      <c r="V225">
        <v>139.69999999999999</v>
      </c>
      <c r="W225">
        <v>143.80000000000001</v>
      </c>
      <c r="X225">
        <v>146.19999999999999</v>
      </c>
      <c r="Y225">
        <v>124.6</v>
      </c>
      <c r="Z225">
        <v>137.69999999999999</v>
      </c>
      <c r="AA225">
        <v>150.30000000000001</v>
      </c>
      <c r="AB225">
        <v>133.4</v>
      </c>
      <c r="AC225">
        <v>137.69999999999999</v>
      </c>
      <c r="AD225">
        <v>140.4</v>
      </c>
      <c r="AE225">
        <f t="shared" si="15"/>
        <v>1480.3</v>
      </c>
      <c r="AF225">
        <f t="shared" si="16"/>
        <v>282.60000000000002</v>
      </c>
      <c r="AG225">
        <f t="shared" si="17"/>
        <v>279.60000000000002</v>
      </c>
      <c r="AH225">
        <f t="shared" si="18"/>
        <v>262.29999999999995</v>
      </c>
      <c r="AI225">
        <f t="shared" si="19"/>
        <v>998.69999999999993</v>
      </c>
      <c r="AK225" s="18">
        <f>(Table1[[#This Row],[Food Category]]/$AJ$375)</f>
        <v>0</v>
      </c>
    </row>
    <row r="226" spans="1:37" hidden="1" x14ac:dyDescent="0.3">
      <c r="A226" t="s">
        <v>30</v>
      </c>
      <c r="B226">
        <v>2019</v>
      </c>
      <c r="C226" t="s">
        <v>38</v>
      </c>
      <c r="D226">
        <v>137.4</v>
      </c>
      <c r="E226">
        <v>159.5</v>
      </c>
      <c r="F226">
        <v>134.5</v>
      </c>
      <c r="G226">
        <v>142.6</v>
      </c>
      <c r="H226">
        <v>124</v>
      </c>
      <c r="I226">
        <v>143.69999999999999</v>
      </c>
      <c r="J226">
        <v>133.4</v>
      </c>
      <c r="K226">
        <v>125.1</v>
      </c>
      <c r="L226">
        <v>109.3</v>
      </c>
      <c r="M226">
        <v>139.30000000000001</v>
      </c>
      <c r="N226">
        <v>137.69999999999999</v>
      </c>
      <c r="O226">
        <v>156.4</v>
      </c>
      <c r="P226">
        <v>139.19999999999999</v>
      </c>
      <c r="Q226">
        <v>163.30000000000001</v>
      </c>
      <c r="R226">
        <v>151.30000000000001</v>
      </c>
      <c r="S226">
        <v>146.6</v>
      </c>
      <c r="T226">
        <v>150.69999999999999</v>
      </c>
      <c r="U226" t="s">
        <v>32</v>
      </c>
      <c r="V226">
        <v>146.9</v>
      </c>
      <c r="W226">
        <v>149.5</v>
      </c>
      <c r="X226">
        <v>151.30000000000001</v>
      </c>
      <c r="Y226">
        <v>130.19999999999999</v>
      </c>
      <c r="Z226">
        <v>145.9</v>
      </c>
      <c r="AA226">
        <v>156.69999999999999</v>
      </c>
      <c r="AB226">
        <v>133.9</v>
      </c>
      <c r="AC226">
        <v>142.9</v>
      </c>
      <c r="AD226">
        <v>142.4</v>
      </c>
      <c r="AE226">
        <f t="shared" si="15"/>
        <v>1505</v>
      </c>
      <c r="AF226">
        <f t="shared" si="16"/>
        <v>277.10000000000002</v>
      </c>
      <c r="AG226">
        <f t="shared" si="17"/>
        <v>285.20000000000005</v>
      </c>
      <c r="AH226">
        <f t="shared" si="18"/>
        <v>276.10000000000002</v>
      </c>
      <c r="AI226">
        <f t="shared" si="19"/>
        <v>875.2</v>
      </c>
      <c r="AK226" s="18">
        <f>(Table1[[#This Row],[Food Category]]/$AJ$375)</f>
        <v>0</v>
      </c>
    </row>
    <row r="227" spans="1:37" hidden="1" x14ac:dyDescent="0.3">
      <c r="A227" t="s">
        <v>33</v>
      </c>
      <c r="B227">
        <v>2019</v>
      </c>
      <c r="C227" t="s">
        <v>38</v>
      </c>
      <c r="D227">
        <v>140.4</v>
      </c>
      <c r="E227">
        <v>156.69999999999999</v>
      </c>
      <c r="F227">
        <v>138.30000000000001</v>
      </c>
      <c r="G227">
        <v>142.4</v>
      </c>
      <c r="H227">
        <v>118.6</v>
      </c>
      <c r="I227">
        <v>149.69999999999999</v>
      </c>
      <c r="J227">
        <v>161.6</v>
      </c>
      <c r="K227">
        <v>124.4</v>
      </c>
      <c r="L227">
        <v>111.2</v>
      </c>
      <c r="M227">
        <v>141</v>
      </c>
      <c r="N227">
        <v>128.9</v>
      </c>
      <c r="O227">
        <v>154.5</v>
      </c>
      <c r="P227">
        <v>143.80000000000001</v>
      </c>
      <c r="Q227">
        <v>166.2</v>
      </c>
      <c r="R227">
        <v>144</v>
      </c>
      <c r="S227">
        <v>131.69999999999999</v>
      </c>
      <c r="T227">
        <v>142.19999999999999</v>
      </c>
      <c r="U227">
        <v>150.1</v>
      </c>
      <c r="V227">
        <v>129.4</v>
      </c>
      <c r="W227">
        <v>137.19999999999999</v>
      </c>
      <c r="X227">
        <v>139.80000000000001</v>
      </c>
      <c r="Y227">
        <v>120.1</v>
      </c>
      <c r="Z227">
        <v>134</v>
      </c>
      <c r="AA227">
        <v>148</v>
      </c>
      <c r="AB227">
        <v>132.6</v>
      </c>
      <c r="AC227">
        <v>133.30000000000001</v>
      </c>
      <c r="AD227">
        <v>141.5</v>
      </c>
      <c r="AE227">
        <f t="shared" si="15"/>
        <v>1530.8000000000002</v>
      </c>
      <c r="AF227">
        <f t="shared" si="16"/>
        <v>280.70000000000005</v>
      </c>
      <c r="AG227">
        <f t="shared" si="17"/>
        <v>272.39999999999998</v>
      </c>
      <c r="AH227">
        <f t="shared" si="18"/>
        <v>254.1</v>
      </c>
      <c r="AI227">
        <f t="shared" si="19"/>
        <v>977.8</v>
      </c>
      <c r="AK227" s="18">
        <f>(Table1[[#This Row],[Food Category]]/$AJ$375)</f>
        <v>0</v>
      </c>
    </row>
    <row r="228" spans="1:37" hidden="1" x14ac:dyDescent="0.3">
      <c r="A228" t="s">
        <v>34</v>
      </c>
      <c r="B228">
        <v>2019</v>
      </c>
      <c r="C228" t="s">
        <v>38</v>
      </c>
      <c r="D228">
        <v>138.30000000000001</v>
      </c>
      <c r="E228">
        <v>158.5</v>
      </c>
      <c r="F228">
        <v>136</v>
      </c>
      <c r="G228">
        <v>142.5</v>
      </c>
      <c r="H228">
        <v>122</v>
      </c>
      <c r="I228">
        <v>146.5</v>
      </c>
      <c r="J228">
        <v>143</v>
      </c>
      <c r="K228">
        <v>124.9</v>
      </c>
      <c r="L228">
        <v>109.9</v>
      </c>
      <c r="M228">
        <v>139.9</v>
      </c>
      <c r="N228">
        <v>134</v>
      </c>
      <c r="O228">
        <v>155.5</v>
      </c>
      <c r="P228">
        <v>140.9</v>
      </c>
      <c r="Q228">
        <v>164.1</v>
      </c>
      <c r="R228">
        <v>148.4</v>
      </c>
      <c r="S228">
        <v>140.4</v>
      </c>
      <c r="T228">
        <v>147.30000000000001</v>
      </c>
      <c r="U228">
        <v>150.1</v>
      </c>
      <c r="V228">
        <v>140.30000000000001</v>
      </c>
      <c r="W228">
        <v>143.69999999999999</v>
      </c>
      <c r="X228">
        <v>146.9</v>
      </c>
      <c r="Y228">
        <v>124.9</v>
      </c>
      <c r="Z228">
        <v>139.19999999999999</v>
      </c>
      <c r="AA228">
        <v>151.6</v>
      </c>
      <c r="AB228">
        <v>133.4</v>
      </c>
      <c r="AC228">
        <v>138.19999999999999</v>
      </c>
      <c r="AD228">
        <v>142</v>
      </c>
      <c r="AE228">
        <f t="shared" si="15"/>
        <v>1513.4</v>
      </c>
      <c r="AF228">
        <f t="shared" si="16"/>
        <v>278.5</v>
      </c>
      <c r="AG228">
        <f t="shared" si="17"/>
        <v>280.3</v>
      </c>
      <c r="AH228">
        <f t="shared" si="18"/>
        <v>264.10000000000002</v>
      </c>
      <c r="AI228">
        <f t="shared" si="19"/>
        <v>1003.3</v>
      </c>
      <c r="AK228" s="18">
        <f>(Table1[[#This Row],[Food Category]]/$AJ$375)</f>
        <v>0</v>
      </c>
    </row>
    <row r="229" spans="1:37" hidden="1" x14ac:dyDescent="0.3">
      <c r="A229" t="s">
        <v>30</v>
      </c>
      <c r="B229">
        <v>2019</v>
      </c>
      <c r="C229" t="s">
        <v>39</v>
      </c>
      <c r="D229">
        <v>137.80000000000001</v>
      </c>
      <c r="E229">
        <v>163.5</v>
      </c>
      <c r="F229">
        <v>136.19999999999999</v>
      </c>
      <c r="G229">
        <v>143.19999999999999</v>
      </c>
      <c r="H229">
        <v>124.3</v>
      </c>
      <c r="I229">
        <v>143.30000000000001</v>
      </c>
      <c r="J229">
        <v>140.6</v>
      </c>
      <c r="K229">
        <v>128.69999999999999</v>
      </c>
      <c r="L229">
        <v>110.6</v>
      </c>
      <c r="M229">
        <v>140.4</v>
      </c>
      <c r="N229">
        <v>138</v>
      </c>
      <c r="O229">
        <v>156.6</v>
      </c>
      <c r="P229">
        <v>141</v>
      </c>
      <c r="Q229">
        <v>164.2</v>
      </c>
      <c r="R229">
        <v>151.4</v>
      </c>
      <c r="S229">
        <v>146.5</v>
      </c>
      <c r="T229">
        <v>150.69999999999999</v>
      </c>
      <c r="U229" t="s">
        <v>32</v>
      </c>
      <c r="V229">
        <v>147.80000000000001</v>
      </c>
      <c r="W229">
        <v>149.6</v>
      </c>
      <c r="X229">
        <v>151.69999999999999</v>
      </c>
      <c r="Y229">
        <v>130.19999999999999</v>
      </c>
      <c r="Z229">
        <v>146.4</v>
      </c>
      <c r="AA229">
        <v>157.69999999999999</v>
      </c>
      <c r="AB229">
        <v>134.80000000000001</v>
      </c>
      <c r="AC229">
        <v>143.30000000000001</v>
      </c>
      <c r="AD229">
        <v>143.6</v>
      </c>
      <c r="AE229">
        <f t="shared" si="15"/>
        <v>1524.8</v>
      </c>
      <c r="AF229">
        <f t="shared" si="16"/>
        <v>279.39999999999998</v>
      </c>
      <c r="AG229">
        <f t="shared" si="17"/>
        <v>286.5</v>
      </c>
      <c r="AH229">
        <f t="shared" si="18"/>
        <v>276.60000000000002</v>
      </c>
      <c r="AI229">
        <f t="shared" si="19"/>
        <v>878.69999999999993</v>
      </c>
      <c r="AK229" s="18">
        <f>(Table1[[#This Row],[Food Category]]/$AJ$375)</f>
        <v>0</v>
      </c>
    </row>
    <row r="230" spans="1:37" hidden="1" x14ac:dyDescent="0.3">
      <c r="A230" t="s">
        <v>33</v>
      </c>
      <c r="B230">
        <v>2019</v>
      </c>
      <c r="C230" t="s">
        <v>39</v>
      </c>
      <c r="D230">
        <v>140.69999999999999</v>
      </c>
      <c r="E230">
        <v>159.6</v>
      </c>
      <c r="F230">
        <v>140.4</v>
      </c>
      <c r="G230">
        <v>143.4</v>
      </c>
      <c r="H230">
        <v>118.6</v>
      </c>
      <c r="I230">
        <v>150.9</v>
      </c>
      <c r="J230">
        <v>169.8</v>
      </c>
      <c r="K230">
        <v>127.4</v>
      </c>
      <c r="L230">
        <v>111.8</v>
      </c>
      <c r="M230">
        <v>141</v>
      </c>
      <c r="N230">
        <v>129</v>
      </c>
      <c r="O230">
        <v>155.1</v>
      </c>
      <c r="P230">
        <v>145.6</v>
      </c>
      <c r="Q230">
        <v>166.7</v>
      </c>
      <c r="R230">
        <v>144.30000000000001</v>
      </c>
      <c r="S230">
        <v>131.69999999999999</v>
      </c>
      <c r="T230">
        <v>142.4</v>
      </c>
      <c r="U230">
        <v>149.4</v>
      </c>
      <c r="V230">
        <v>130.5</v>
      </c>
      <c r="W230">
        <v>137.4</v>
      </c>
      <c r="X230">
        <v>140.30000000000001</v>
      </c>
      <c r="Y230">
        <v>119.6</v>
      </c>
      <c r="Z230">
        <v>134.30000000000001</v>
      </c>
      <c r="AA230">
        <v>148.9</v>
      </c>
      <c r="AB230">
        <v>133.69999999999999</v>
      </c>
      <c r="AC230">
        <v>133.6</v>
      </c>
      <c r="AD230">
        <v>142.1</v>
      </c>
      <c r="AE230">
        <f t="shared" si="15"/>
        <v>1549.4999999999995</v>
      </c>
      <c r="AF230">
        <f t="shared" si="16"/>
        <v>283.8</v>
      </c>
      <c r="AG230">
        <f t="shared" si="17"/>
        <v>274</v>
      </c>
      <c r="AH230">
        <f t="shared" si="18"/>
        <v>253.9</v>
      </c>
      <c r="AI230">
        <f t="shared" si="19"/>
        <v>979.30000000000007</v>
      </c>
      <c r="AK230" s="18">
        <f>(Table1[[#This Row],[Food Category]]/$AJ$375)</f>
        <v>0</v>
      </c>
    </row>
    <row r="231" spans="1:37" hidden="1" x14ac:dyDescent="0.3">
      <c r="A231" t="s">
        <v>34</v>
      </c>
      <c r="B231">
        <v>2019</v>
      </c>
      <c r="C231" t="s">
        <v>39</v>
      </c>
      <c r="D231">
        <v>138.69999999999999</v>
      </c>
      <c r="E231">
        <v>162.1</v>
      </c>
      <c r="F231">
        <v>137.80000000000001</v>
      </c>
      <c r="G231">
        <v>143.30000000000001</v>
      </c>
      <c r="H231">
        <v>122.2</v>
      </c>
      <c r="I231">
        <v>146.80000000000001</v>
      </c>
      <c r="J231">
        <v>150.5</v>
      </c>
      <c r="K231">
        <v>128.30000000000001</v>
      </c>
      <c r="L231">
        <v>111</v>
      </c>
      <c r="M231">
        <v>140.6</v>
      </c>
      <c r="N231">
        <v>134.19999999999999</v>
      </c>
      <c r="O231">
        <v>155.9</v>
      </c>
      <c r="P231">
        <v>142.69999999999999</v>
      </c>
      <c r="Q231">
        <v>164.9</v>
      </c>
      <c r="R231">
        <v>148.6</v>
      </c>
      <c r="S231">
        <v>140.4</v>
      </c>
      <c r="T231">
        <v>147.4</v>
      </c>
      <c r="U231">
        <v>149.4</v>
      </c>
      <c r="V231">
        <v>141.19999999999999</v>
      </c>
      <c r="W231">
        <v>143.80000000000001</v>
      </c>
      <c r="X231">
        <v>147.4</v>
      </c>
      <c r="Y231">
        <v>124.6</v>
      </c>
      <c r="Z231">
        <v>139.6</v>
      </c>
      <c r="AA231">
        <v>152.5</v>
      </c>
      <c r="AB231">
        <v>134.30000000000001</v>
      </c>
      <c r="AC231">
        <v>138.6</v>
      </c>
      <c r="AD231">
        <v>142.9</v>
      </c>
      <c r="AE231">
        <f t="shared" si="15"/>
        <v>1533</v>
      </c>
      <c r="AF231">
        <f t="shared" si="16"/>
        <v>281.10000000000002</v>
      </c>
      <c r="AG231">
        <f t="shared" si="17"/>
        <v>281.70000000000005</v>
      </c>
      <c r="AH231">
        <f t="shared" si="18"/>
        <v>264.2</v>
      </c>
      <c r="AI231">
        <f t="shared" si="19"/>
        <v>1005.4</v>
      </c>
      <c r="AK231" s="18">
        <f>(Table1[[#This Row],[Food Category]]/$AJ$375)</f>
        <v>0</v>
      </c>
    </row>
    <row r="232" spans="1:37" hidden="1" x14ac:dyDescent="0.3">
      <c r="A232" t="s">
        <v>30</v>
      </c>
      <c r="B232">
        <v>2019</v>
      </c>
      <c r="C232" t="s">
        <v>40</v>
      </c>
      <c r="D232">
        <v>138.4</v>
      </c>
      <c r="E232">
        <v>164</v>
      </c>
      <c r="F232">
        <v>138.4</v>
      </c>
      <c r="G232">
        <v>143.9</v>
      </c>
      <c r="H232">
        <v>124.4</v>
      </c>
      <c r="I232">
        <v>146.4</v>
      </c>
      <c r="J232">
        <v>150.1</v>
      </c>
      <c r="K232">
        <v>130.6</v>
      </c>
      <c r="L232">
        <v>110.8</v>
      </c>
      <c r="M232">
        <v>141.69999999999999</v>
      </c>
      <c r="N232">
        <v>138.5</v>
      </c>
      <c r="O232">
        <v>156.69999999999999</v>
      </c>
      <c r="P232">
        <v>143</v>
      </c>
      <c r="Q232">
        <v>164.5</v>
      </c>
      <c r="R232">
        <v>151.6</v>
      </c>
      <c r="S232">
        <v>146.6</v>
      </c>
      <c r="T232">
        <v>150.9</v>
      </c>
      <c r="U232" t="s">
        <v>32</v>
      </c>
      <c r="V232">
        <v>146.80000000000001</v>
      </c>
      <c r="W232">
        <v>150</v>
      </c>
      <c r="X232">
        <v>152.19999999999999</v>
      </c>
      <c r="Y232">
        <v>131.19999999999999</v>
      </c>
      <c r="Z232">
        <v>147.5</v>
      </c>
      <c r="AA232">
        <v>159.1</v>
      </c>
      <c r="AB232">
        <v>136.1</v>
      </c>
      <c r="AC232">
        <v>144.19999999999999</v>
      </c>
      <c r="AD232">
        <v>144.9</v>
      </c>
      <c r="AE232">
        <f t="shared" si="15"/>
        <v>1544.6</v>
      </c>
      <c r="AF232">
        <f t="shared" si="16"/>
        <v>282.3</v>
      </c>
      <c r="AG232">
        <f t="shared" si="17"/>
        <v>288.29999999999995</v>
      </c>
      <c r="AH232">
        <f t="shared" si="18"/>
        <v>278.7</v>
      </c>
      <c r="AI232">
        <f t="shared" si="19"/>
        <v>881.6</v>
      </c>
      <c r="AK232" s="18">
        <f>(Table1[[#This Row],[Food Category]]/$AJ$375)</f>
        <v>0</v>
      </c>
    </row>
    <row r="233" spans="1:37" hidden="1" x14ac:dyDescent="0.3">
      <c r="A233" t="s">
        <v>33</v>
      </c>
      <c r="B233">
        <v>2019</v>
      </c>
      <c r="C233" t="s">
        <v>40</v>
      </c>
      <c r="D233">
        <v>141.4</v>
      </c>
      <c r="E233">
        <v>160.19999999999999</v>
      </c>
      <c r="F233">
        <v>142.5</v>
      </c>
      <c r="G233">
        <v>144.1</v>
      </c>
      <c r="H233">
        <v>119.3</v>
      </c>
      <c r="I233">
        <v>154.69999999999999</v>
      </c>
      <c r="J233">
        <v>180.1</v>
      </c>
      <c r="K233">
        <v>128.9</v>
      </c>
      <c r="L233">
        <v>111.8</v>
      </c>
      <c r="M233">
        <v>141.6</v>
      </c>
      <c r="N233">
        <v>129.5</v>
      </c>
      <c r="O233">
        <v>155.6</v>
      </c>
      <c r="P233">
        <v>147.69999999999999</v>
      </c>
      <c r="Q233">
        <v>167.2</v>
      </c>
      <c r="R233">
        <v>144.69999999999999</v>
      </c>
      <c r="S233">
        <v>131.9</v>
      </c>
      <c r="T233">
        <v>142.69999999999999</v>
      </c>
      <c r="U233">
        <v>150.6</v>
      </c>
      <c r="V233">
        <v>127</v>
      </c>
      <c r="W233">
        <v>137.69999999999999</v>
      </c>
      <c r="X233">
        <v>140.80000000000001</v>
      </c>
      <c r="Y233">
        <v>120.6</v>
      </c>
      <c r="Z233">
        <v>135</v>
      </c>
      <c r="AA233">
        <v>150.4</v>
      </c>
      <c r="AB233">
        <v>135.1</v>
      </c>
      <c r="AC233">
        <v>134.5</v>
      </c>
      <c r="AD233">
        <v>143.30000000000001</v>
      </c>
      <c r="AE233">
        <f t="shared" si="15"/>
        <v>1570.8</v>
      </c>
      <c r="AF233">
        <f t="shared" si="16"/>
        <v>286.60000000000002</v>
      </c>
      <c r="AG233">
        <f t="shared" si="17"/>
        <v>275.89999999999998</v>
      </c>
      <c r="AH233">
        <f t="shared" si="18"/>
        <v>255.6</v>
      </c>
      <c r="AI233">
        <f t="shared" si="19"/>
        <v>980.90000000000009</v>
      </c>
      <c r="AK233" s="18">
        <f>(Table1[[#This Row],[Food Category]]/$AJ$375)</f>
        <v>0</v>
      </c>
    </row>
    <row r="234" spans="1:37" hidden="1" x14ac:dyDescent="0.3">
      <c r="A234" t="s">
        <v>34</v>
      </c>
      <c r="B234">
        <v>2019</v>
      </c>
      <c r="C234" t="s">
        <v>40</v>
      </c>
      <c r="D234">
        <v>139.30000000000001</v>
      </c>
      <c r="E234">
        <v>162.69999999999999</v>
      </c>
      <c r="F234">
        <v>140</v>
      </c>
      <c r="G234">
        <v>144</v>
      </c>
      <c r="H234">
        <v>122.5</v>
      </c>
      <c r="I234">
        <v>150.30000000000001</v>
      </c>
      <c r="J234">
        <v>160.30000000000001</v>
      </c>
      <c r="K234">
        <v>130</v>
      </c>
      <c r="L234">
        <v>111.1</v>
      </c>
      <c r="M234">
        <v>141.69999999999999</v>
      </c>
      <c r="N234">
        <v>134.69999999999999</v>
      </c>
      <c r="O234">
        <v>156.19999999999999</v>
      </c>
      <c r="P234">
        <v>144.69999999999999</v>
      </c>
      <c r="Q234">
        <v>165.2</v>
      </c>
      <c r="R234">
        <v>148.9</v>
      </c>
      <c r="S234">
        <v>140.5</v>
      </c>
      <c r="T234">
        <v>147.6</v>
      </c>
      <c r="U234">
        <v>150.6</v>
      </c>
      <c r="V234">
        <v>139.30000000000001</v>
      </c>
      <c r="W234">
        <v>144.19999999999999</v>
      </c>
      <c r="X234">
        <v>147.9</v>
      </c>
      <c r="Y234">
        <v>125.6</v>
      </c>
      <c r="Z234">
        <v>140.5</v>
      </c>
      <c r="AA234">
        <v>154</v>
      </c>
      <c r="AB234">
        <v>135.69999999999999</v>
      </c>
      <c r="AC234">
        <v>139.5</v>
      </c>
      <c r="AD234">
        <v>144.19999999999999</v>
      </c>
      <c r="AE234">
        <f t="shared" si="15"/>
        <v>1553.5</v>
      </c>
      <c r="AF234">
        <f t="shared" si="16"/>
        <v>284</v>
      </c>
      <c r="AG234">
        <f t="shared" si="17"/>
        <v>283.60000000000002</v>
      </c>
      <c r="AH234">
        <f t="shared" si="18"/>
        <v>266.10000000000002</v>
      </c>
      <c r="AI234">
        <f t="shared" si="19"/>
        <v>1008.5999999999999</v>
      </c>
      <c r="AK234" s="18">
        <f>(Table1[[#This Row],[Food Category]]/$AJ$375)</f>
        <v>0</v>
      </c>
    </row>
    <row r="235" spans="1:37" hidden="1" x14ac:dyDescent="0.3">
      <c r="A235" t="s">
        <v>30</v>
      </c>
      <c r="B235">
        <v>2019</v>
      </c>
      <c r="C235" t="s">
        <v>41</v>
      </c>
      <c r="D235">
        <v>139.19999999999999</v>
      </c>
      <c r="E235">
        <v>161.9</v>
      </c>
      <c r="F235">
        <v>137.1</v>
      </c>
      <c r="G235">
        <v>144.6</v>
      </c>
      <c r="H235">
        <v>124.7</v>
      </c>
      <c r="I235">
        <v>145.5</v>
      </c>
      <c r="J235">
        <v>156.19999999999999</v>
      </c>
      <c r="K235">
        <v>131.5</v>
      </c>
      <c r="L235">
        <v>111.7</v>
      </c>
      <c r="M235">
        <v>142.69999999999999</v>
      </c>
      <c r="N235">
        <v>138.5</v>
      </c>
      <c r="O235">
        <v>156.9</v>
      </c>
      <c r="P235">
        <v>144</v>
      </c>
      <c r="Q235">
        <v>165.1</v>
      </c>
      <c r="R235">
        <v>151.80000000000001</v>
      </c>
      <c r="S235">
        <v>146.6</v>
      </c>
      <c r="T235">
        <v>151.1</v>
      </c>
      <c r="U235" t="s">
        <v>32</v>
      </c>
      <c r="V235">
        <v>146.4</v>
      </c>
      <c r="W235">
        <v>150.19999999999999</v>
      </c>
      <c r="X235">
        <v>152.69999999999999</v>
      </c>
      <c r="Y235">
        <v>131.4</v>
      </c>
      <c r="Z235">
        <v>148</v>
      </c>
      <c r="AA235">
        <v>159.69999999999999</v>
      </c>
      <c r="AB235">
        <v>138.80000000000001</v>
      </c>
      <c r="AC235">
        <v>144.9</v>
      </c>
      <c r="AD235">
        <v>145.69999999999999</v>
      </c>
      <c r="AE235">
        <f t="shared" si="15"/>
        <v>1552.8000000000002</v>
      </c>
      <c r="AF235">
        <f t="shared" si="16"/>
        <v>281.7</v>
      </c>
      <c r="AG235">
        <f t="shared" si="17"/>
        <v>291.5</v>
      </c>
      <c r="AH235">
        <f t="shared" si="18"/>
        <v>279.39999999999998</v>
      </c>
      <c r="AI235">
        <f t="shared" si="19"/>
        <v>883.7</v>
      </c>
      <c r="AK235" s="18">
        <f>(Table1[[#This Row],[Food Category]]/$AJ$375)</f>
        <v>0</v>
      </c>
    </row>
    <row r="236" spans="1:37" hidden="1" x14ac:dyDescent="0.3">
      <c r="A236" t="s">
        <v>33</v>
      </c>
      <c r="B236">
        <v>2019</v>
      </c>
      <c r="C236" t="s">
        <v>41</v>
      </c>
      <c r="D236">
        <v>142.1</v>
      </c>
      <c r="E236">
        <v>158.30000000000001</v>
      </c>
      <c r="F236">
        <v>140.80000000000001</v>
      </c>
      <c r="G236">
        <v>144.9</v>
      </c>
      <c r="H236">
        <v>119.9</v>
      </c>
      <c r="I236">
        <v>153.9</v>
      </c>
      <c r="J236">
        <v>189.1</v>
      </c>
      <c r="K236">
        <v>129.80000000000001</v>
      </c>
      <c r="L236">
        <v>112.7</v>
      </c>
      <c r="M236">
        <v>142.5</v>
      </c>
      <c r="N236">
        <v>129.80000000000001</v>
      </c>
      <c r="O236">
        <v>156.19999999999999</v>
      </c>
      <c r="P236">
        <v>149.1</v>
      </c>
      <c r="Q236">
        <v>167.9</v>
      </c>
      <c r="R236">
        <v>145</v>
      </c>
      <c r="S236">
        <v>132.19999999999999</v>
      </c>
      <c r="T236">
        <v>143</v>
      </c>
      <c r="U236">
        <v>151.6</v>
      </c>
      <c r="V236">
        <v>125.5</v>
      </c>
      <c r="W236">
        <v>138.1</v>
      </c>
      <c r="X236">
        <v>141.5</v>
      </c>
      <c r="Y236">
        <v>120.8</v>
      </c>
      <c r="Z236">
        <v>135.4</v>
      </c>
      <c r="AA236">
        <v>151.5</v>
      </c>
      <c r="AB236">
        <v>137.80000000000001</v>
      </c>
      <c r="AC236">
        <v>135.30000000000001</v>
      </c>
      <c r="AD236">
        <v>144.19999999999999</v>
      </c>
      <c r="AE236">
        <f t="shared" si="15"/>
        <v>1583.3999999999999</v>
      </c>
      <c r="AF236">
        <f t="shared" si="16"/>
        <v>285.70000000000005</v>
      </c>
      <c r="AG236">
        <f t="shared" si="17"/>
        <v>279.3</v>
      </c>
      <c r="AH236">
        <f t="shared" si="18"/>
        <v>256.2</v>
      </c>
      <c r="AI236">
        <f t="shared" si="19"/>
        <v>983.40000000000009</v>
      </c>
      <c r="AK236" s="18">
        <f>(Table1[[#This Row],[Food Category]]/$AJ$375)</f>
        <v>0</v>
      </c>
    </row>
    <row r="237" spans="1:37" hidden="1" x14ac:dyDescent="0.3">
      <c r="A237" t="s">
        <v>34</v>
      </c>
      <c r="B237">
        <v>2019</v>
      </c>
      <c r="C237" t="s">
        <v>41</v>
      </c>
      <c r="D237">
        <v>140.1</v>
      </c>
      <c r="E237">
        <v>160.6</v>
      </c>
      <c r="F237">
        <v>138.5</v>
      </c>
      <c r="G237">
        <v>144.69999999999999</v>
      </c>
      <c r="H237">
        <v>122.9</v>
      </c>
      <c r="I237">
        <v>149.4</v>
      </c>
      <c r="J237">
        <v>167.4</v>
      </c>
      <c r="K237">
        <v>130.9</v>
      </c>
      <c r="L237">
        <v>112</v>
      </c>
      <c r="M237">
        <v>142.6</v>
      </c>
      <c r="N237">
        <v>134.9</v>
      </c>
      <c r="O237">
        <v>156.6</v>
      </c>
      <c r="P237">
        <v>145.9</v>
      </c>
      <c r="Q237">
        <v>165.8</v>
      </c>
      <c r="R237">
        <v>149.1</v>
      </c>
      <c r="S237">
        <v>140.6</v>
      </c>
      <c r="T237">
        <v>147.9</v>
      </c>
      <c r="U237">
        <v>151.6</v>
      </c>
      <c r="V237">
        <v>138.5</v>
      </c>
      <c r="W237">
        <v>144.5</v>
      </c>
      <c r="X237">
        <v>148.5</v>
      </c>
      <c r="Y237">
        <v>125.8</v>
      </c>
      <c r="Z237">
        <v>140.9</v>
      </c>
      <c r="AA237">
        <v>154.9</v>
      </c>
      <c r="AB237">
        <v>138.4</v>
      </c>
      <c r="AC237">
        <v>140.19999999999999</v>
      </c>
      <c r="AD237">
        <v>145</v>
      </c>
      <c r="AE237">
        <f t="shared" si="15"/>
        <v>1563.3</v>
      </c>
      <c r="AF237">
        <f t="shared" si="16"/>
        <v>283.2</v>
      </c>
      <c r="AG237">
        <f t="shared" si="17"/>
        <v>286.89999999999998</v>
      </c>
      <c r="AH237">
        <f t="shared" si="18"/>
        <v>266.7</v>
      </c>
      <c r="AI237">
        <f t="shared" si="19"/>
        <v>1011.3999999999999</v>
      </c>
      <c r="AK237" s="18">
        <f>(Table1[[#This Row],[Food Category]]/$AJ$375)</f>
        <v>0</v>
      </c>
    </row>
    <row r="238" spans="1:37" hidden="1" x14ac:dyDescent="0.3">
      <c r="A238" t="s">
        <v>30</v>
      </c>
      <c r="B238">
        <v>2019</v>
      </c>
      <c r="C238" t="s">
        <v>42</v>
      </c>
      <c r="D238">
        <v>140.1</v>
      </c>
      <c r="E238">
        <v>161.9</v>
      </c>
      <c r="F238">
        <v>138.30000000000001</v>
      </c>
      <c r="G238">
        <v>145.69999999999999</v>
      </c>
      <c r="H238">
        <v>125.1</v>
      </c>
      <c r="I238">
        <v>143.80000000000001</v>
      </c>
      <c r="J238">
        <v>163.4</v>
      </c>
      <c r="K238">
        <v>132.19999999999999</v>
      </c>
      <c r="L238">
        <v>112.8</v>
      </c>
      <c r="M238">
        <v>144.19999999999999</v>
      </c>
      <c r="N238">
        <v>138.5</v>
      </c>
      <c r="O238">
        <v>157.19999999999999</v>
      </c>
      <c r="P238">
        <v>145.5</v>
      </c>
      <c r="Q238">
        <v>165.7</v>
      </c>
      <c r="R238">
        <v>151.69999999999999</v>
      </c>
      <c r="S238">
        <v>146.6</v>
      </c>
      <c r="T238">
        <v>151</v>
      </c>
      <c r="U238" t="s">
        <v>32</v>
      </c>
      <c r="V238">
        <v>146.9</v>
      </c>
      <c r="W238">
        <v>150.30000000000001</v>
      </c>
      <c r="X238">
        <v>153.4</v>
      </c>
      <c r="Y238">
        <v>131.6</v>
      </c>
      <c r="Z238">
        <v>148.30000000000001</v>
      </c>
      <c r="AA238">
        <v>160.19999999999999</v>
      </c>
      <c r="AB238">
        <v>140.19999999999999</v>
      </c>
      <c r="AC238">
        <v>145.4</v>
      </c>
      <c r="AD238">
        <v>146.69999999999999</v>
      </c>
      <c r="AE238">
        <f t="shared" si="15"/>
        <v>1564.7</v>
      </c>
      <c r="AF238">
        <f t="shared" si="16"/>
        <v>284</v>
      </c>
      <c r="AG238">
        <f t="shared" si="17"/>
        <v>293.60000000000002</v>
      </c>
      <c r="AH238">
        <f t="shared" si="18"/>
        <v>279.89999999999998</v>
      </c>
      <c r="AI238">
        <f t="shared" si="19"/>
        <v>886.59999999999991</v>
      </c>
      <c r="AK238" s="18">
        <f>(Table1[[#This Row],[Food Category]]/$AJ$375)</f>
        <v>0</v>
      </c>
    </row>
    <row r="239" spans="1:37" hidden="1" x14ac:dyDescent="0.3">
      <c r="A239" t="s">
        <v>33</v>
      </c>
      <c r="B239">
        <v>2019</v>
      </c>
      <c r="C239" t="s">
        <v>42</v>
      </c>
      <c r="D239">
        <v>142.69999999999999</v>
      </c>
      <c r="E239">
        <v>158.69999999999999</v>
      </c>
      <c r="F239">
        <v>141.6</v>
      </c>
      <c r="G239">
        <v>144.9</v>
      </c>
      <c r="H239">
        <v>120.8</v>
      </c>
      <c r="I239">
        <v>149.80000000000001</v>
      </c>
      <c r="J239">
        <v>192.4</v>
      </c>
      <c r="K239">
        <v>130.30000000000001</v>
      </c>
      <c r="L239">
        <v>114</v>
      </c>
      <c r="M239">
        <v>143.80000000000001</v>
      </c>
      <c r="N239">
        <v>130</v>
      </c>
      <c r="O239">
        <v>156.4</v>
      </c>
      <c r="P239">
        <v>149.5</v>
      </c>
      <c r="Q239">
        <v>168.6</v>
      </c>
      <c r="R239">
        <v>145.30000000000001</v>
      </c>
      <c r="S239">
        <v>132.19999999999999</v>
      </c>
      <c r="T239">
        <v>143.30000000000001</v>
      </c>
      <c r="U239">
        <v>152.19999999999999</v>
      </c>
      <c r="V239">
        <v>126.6</v>
      </c>
      <c r="W239">
        <v>138.30000000000001</v>
      </c>
      <c r="X239">
        <v>141.9</v>
      </c>
      <c r="Y239">
        <v>121.2</v>
      </c>
      <c r="Z239">
        <v>135.9</v>
      </c>
      <c r="AA239">
        <v>151.6</v>
      </c>
      <c r="AB239">
        <v>139</v>
      </c>
      <c r="AC239">
        <v>135.69999999999999</v>
      </c>
      <c r="AD239">
        <v>144.69999999999999</v>
      </c>
      <c r="AE239">
        <f t="shared" si="15"/>
        <v>1588.4</v>
      </c>
      <c r="AF239">
        <f t="shared" si="16"/>
        <v>286.5</v>
      </c>
      <c r="AG239">
        <f t="shared" si="17"/>
        <v>280.89999999999998</v>
      </c>
      <c r="AH239">
        <f t="shared" si="18"/>
        <v>257.10000000000002</v>
      </c>
      <c r="AI239">
        <f t="shared" si="19"/>
        <v>987.30000000000018</v>
      </c>
      <c r="AK239" s="18">
        <f>(Table1[[#This Row],[Food Category]]/$AJ$375)</f>
        <v>0</v>
      </c>
    </row>
    <row r="240" spans="1:37" hidden="1" x14ac:dyDescent="0.3">
      <c r="A240" t="s">
        <v>34</v>
      </c>
      <c r="B240">
        <v>2019</v>
      </c>
      <c r="C240" t="s">
        <v>42</v>
      </c>
      <c r="D240">
        <v>140.9</v>
      </c>
      <c r="E240">
        <v>160.80000000000001</v>
      </c>
      <c r="F240">
        <v>139.6</v>
      </c>
      <c r="G240">
        <v>145.4</v>
      </c>
      <c r="H240">
        <v>123.5</v>
      </c>
      <c r="I240">
        <v>146.6</v>
      </c>
      <c r="J240">
        <v>173.2</v>
      </c>
      <c r="K240">
        <v>131.6</v>
      </c>
      <c r="L240">
        <v>113.2</v>
      </c>
      <c r="M240">
        <v>144.1</v>
      </c>
      <c r="N240">
        <v>135</v>
      </c>
      <c r="O240">
        <v>156.80000000000001</v>
      </c>
      <c r="P240">
        <v>147</v>
      </c>
      <c r="Q240">
        <v>166.5</v>
      </c>
      <c r="R240">
        <v>149.19999999999999</v>
      </c>
      <c r="S240">
        <v>140.6</v>
      </c>
      <c r="T240">
        <v>147.9</v>
      </c>
      <c r="U240">
        <v>152.19999999999999</v>
      </c>
      <c r="V240">
        <v>139.19999999999999</v>
      </c>
      <c r="W240">
        <v>144.6</v>
      </c>
      <c r="X240">
        <v>149</v>
      </c>
      <c r="Y240">
        <v>126.1</v>
      </c>
      <c r="Z240">
        <v>141.30000000000001</v>
      </c>
      <c r="AA240">
        <v>155.19999999999999</v>
      </c>
      <c r="AB240">
        <v>139.69999999999999</v>
      </c>
      <c r="AC240">
        <v>140.69999999999999</v>
      </c>
      <c r="AD240">
        <v>145.80000000000001</v>
      </c>
      <c r="AE240">
        <f t="shared" si="15"/>
        <v>1572.7</v>
      </c>
      <c r="AF240">
        <f t="shared" si="16"/>
        <v>285</v>
      </c>
      <c r="AG240">
        <f t="shared" si="17"/>
        <v>288.7</v>
      </c>
      <c r="AH240">
        <f t="shared" si="18"/>
        <v>267.39999999999998</v>
      </c>
      <c r="AI240">
        <f t="shared" si="19"/>
        <v>1015.0999999999999</v>
      </c>
      <c r="AK240" s="18">
        <f>(Table1[[#This Row],[Food Category]]/$AJ$375)</f>
        <v>0</v>
      </c>
    </row>
    <row r="241" spans="1:37" hidden="1" x14ac:dyDescent="0.3">
      <c r="A241" t="s">
        <v>30</v>
      </c>
      <c r="B241">
        <v>2019</v>
      </c>
      <c r="C241" t="s">
        <v>43</v>
      </c>
      <c r="D241">
        <v>141</v>
      </c>
      <c r="E241">
        <v>161.6</v>
      </c>
      <c r="F241">
        <v>141.19999999999999</v>
      </c>
      <c r="G241">
        <v>146.5</v>
      </c>
      <c r="H241">
        <v>125.6</v>
      </c>
      <c r="I241">
        <v>145.69999999999999</v>
      </c>
      <c r="J241">
        <v>178.8</v>
      </c>
      <c r="K241">
        <v>133.1</v>
      </c>
      <c r="L241">
        <v>113.6</v>
      </c>
      <c r="M241">
        <v>145.5</v>
      </c>
      <c r="N241">
        <v>138.6</v>
      </c>
      <c r="O241">
        <v>157.4</v>
      </c>
      <c r="P241">
        <v>148.30000000000001</v>
      </c>
      <c r="Q241">
        <v>166.3</v>
      </c>
      <c r="R241">
        <v>151.69999999999999</v>
      </c>
      <c r="S241">
        <v>146.69999999999999</v>
      </c>
      <c r="T241">
        <v>151</v>
      </c>
      <c r="U241" t="s">
        <v>32</v>
      </c>
      <c r="V241">
        <v>147.69999999999999</v>
      </c>
      <c r="W241">
        <v>150.6</v>
      </c>
      <c r="X241">
        <v>153.69999999999999</v>
      </c>
      <c r="Y241">
        <v>131.69999999999999</v>
      </c>
      <c r="Z241">
        <v>148.69999999999999</v>
      </c>
      <c r="AA241">
        <v>160.69999999999999</v>
      </c>
      <c r="AB241">
        <v>140.30000000000001</v>
      </c>
      <c r="AC241">
        <v>145.69999999999999</v>
      </c>
      <c r="AD241">
        <v>148.30000000000001</v>
      </c>
      <c r="AE241">
        <f t="shared" si="15"/>
        <v>1589.2</v>
      </c>
      <c r="AF241">
        <f t="shared" si="16"/>
        <v>287.7</v>
      </c>
      <c r="AG241">
        <f t="shared" si="17"/>
        <v>294</v>
      </c>
      <c r="AH241">
        <f t="shared" si="18"/>
        <v>280.39999999999998</v>
      </c>
      <c r="AI241">
        <f t="shared" si="19"/>
        <v>890.3</v>
      </c>
      <c r="AK241" s="18">
        <f>(Table1[[#This Row],[Food Category]]/$AJ$375)</f>
        <v>0</v>
      </c>
    </row>
    <row r="242" spans="1:37" hidden="1" x14ac:dyDescent="0.3">
      <c r="A242" t="s">
        <v>33</v>
      </c>
      <c r="B242">
        <v>2019</v>
      </c>
      <c r="C242" t="s">
        <v>43</v>
      </c>
      <c r="D242">
        <v>143.5</v>
      </c>
      <c r="E242">
        <v>159.80000000000001</v>
      </c>
      <c r="F242">
        <v>144.69999999999999</v>
      </c>
      <c r="G242">
        <v>145.6</v>
      </c>
      <c r="H242">
        <v>121.1</v>
      </c>
      <c r="I242">
        <v>150.6</v>
      </c>
      <c r="J242">
        <v>207.2</v>
      </c>
      <c r="K242">
        <v>131.19999999999999</v>
      </c>
      <c r="L242">
        <v>114.8</v>
      </c>
      <c r="M242">
        <v>145.19999999999999</v>
      </c>
      <c r="N242">
        <v>130.19999999999999</v>
      </c>
      <c r="O242">
        <v>156.80000000000001</v>
      </c>
      <c r="P242">
        <v>151.9</v>
      </c>
      <c r="Q242">
        <v>169.3</v>
      </c>
      <c r="R242">
        <v>145.9</v>
      </c>
      <c r="S242">
        <v>132.4</v>
      </c>
      <c r="T242">
        <v>143.9</v>
      </c>
      <c r="U242">
        <v>153</v>
      </c>
      <c r="V242">
        <v>128.9</v>
      </c>
      <c r="W242">
        <v>138.69999999999999</v>
      </c>
      <c r="X242">
        <v>142.4</v>
      </c>
      <c r="Y242">
        <v>121.5</v>
      </c>
      <c r="Z242">
        <v>136.19999999999999</v>
      </c>
      <c r="AA242">
        <v>151.69999999999999</v>
      </c>
      <c r="AB242">
        <v>139.5</v>
      </c>
      <c r="AC242">
        <v>136</v>
      </c>
      <c r="AD242">
        <v>146</v>
      </c>
      <c r="AE242">
        <f t="shared" si="15"/>
        <v>1612.3000000000002</v>
      </c>
      <c r="AF242">
        <f t="shared" si="16"/>
        <v>290.29999999999995</v>
      </c>
      <c r="AG242">
        <f t="shared" si="17"/>
        <v>281.89999999999998</v>
      </c>
      <c r="AH242">
        <f t="shared" si="18"/>
        <v>257.7</v>
      </c>
      <c r="AI242">
        <f t="shared" si="19"/>
        <v>993.40000000000009</v>
      </c>
      <c r="AK242" s="18">
        <f>(Table1[[#This Row],[Food Category]]/$AJ$375)</f>
        <v>0</v>
      </c>
    </row>
    <row r="243" spans="1:37" hidden="1" x14ac:dyDescent="0.3">
      <c r="A243" t="s">
        <v>34</v>
      </c>
      <c r="B243">
        <v>2019</v>
      </c>
      <c r="C243" t="s">
        <v>43</v>
      </c>
      <c r="D243">
        <v>141.80000000000001</v>
      </c>
      <c r="E243">
        <v>161</v>
      </c>
      <c r="F243">
        <v>142.6</v>
      </c>
      <c r="G243">
        <v>146.19999999999999</v>
      </c>
      <c r="H243">
        <v>123.9</v>
      </c>
      <c r="I243">
        <v>148</v>
      </c>
      <c r="J243">
        <v>188.4</v>
      </c>
      <c r="K243">
        <v>132.5</v>
      </c>
      <c r="L243">
        <v>114</v>
      </c>
      <c r="M243">
        <v>145.4</v>
      </c>
      <c r="N243">
        <v>135.1</v>
      </c>
      <c r="O243">
        <v>157.1</v>
      </c>
      <c r="P243">
        <v>149.6</v>
      </c>
      <c r="Q243">
        <v>167.1</v>
      </c>
      <c r="R243">
        <v>149.4</v>
      </c>
      <c r="S243">
        <v>140.80000000000001</v>
      </c>
      <c r="T243">
        <v>148.19999999999999</v>
      </c>
      <c r="U243">
        <v>153</v>
      </c>
      <c r="V243">
        <v>140.6</v>
      </c>
      <c r="W243">
        <v>145</v>
      </c>
      <c r="X243">
        <v>149.4</v>
      </c>
      <c r="Y243">
        <v>126.3</v>
      </c>
      <c r="Z243">
        <v>141.69999999999999</v>
      </c>
      <c r="AA243">
        <v>155.4</v>
      </c>
      <c r="AB243">
        <v>140</v>
      </c>
      <c r="AC243">
        <v>141</v>
      </c>
      <c r="AD243">
        <v>147.19999999999999</v>
      </c>
      <c r="AE243">
        <f t="shared" si="15"/>
        <v>1596.7999999999997</v>
      </c>
      <c r="AF243">
        <f t="shared" si="16"/>
        <v>288.79999999999995</v>
      </c>
      <c r="AG243">
        <f t="shared" si="17"/>
        <v>289.39999999999998</v>
      </c>
      <c r="AH243">
        <f t="shared" si="18"/>
        <v>268</v>
      </c>
      <c r="AI243">
        <f t="shared" si="19"/>
        <v>1020.2</v>
      </c>
      <c r="AK243" s="18">
        <f>(Table1[[#This Row],[Food Category]]/$AJ$375)</f>
        <v>0</v>
      </c>
    </row>
    <row r="244" spans="1:37" hidden="1" x14ac:dyDescent="0.3">
      <c r="A244" t="s">
        <v>30</v>
      </c>
      <c r="B244">
        <v>2019</v>
      </c>
      <c r="C244" t="s">
        <v>45</v>
      </c>
      <c r="D244">
        <v>141.80000000000001</v>
      </c>
      <c r="E244">
        <v>163.69999999999999</v>
      </c>
      <c r="F244">
        <v>143.80000000000001</v>
      </c>
      <c r="G244">
        <v>147.1</v>
      </c>
      <c r="H244">
        <v>126</v>
      </c>
      <c r="I244">
        <v>146.19999999999999</v>
      </c>
      <c r="J244">
        <v>191.4</v>
      </c>
      <c r="K244">
        <v>136.19999999999999</v>
      </c>
      <c r="L244">
        <v>113.8</v>
      </c>
      <c r="M244">
        <v>147.30000000000001</v>
      </c>
      <c r="N244">
        <v>138.69999999999999</v>
      </c>
      <c r="O244">
        <v>157.69999999999999</v>
      </c>
      <c r="P244">
        <v>150.9</v>
      </c>
      <c r="Q244">
        <v>167.2</v>
      </c>
      <c r="R244">
        <v>152.30000000000001</v>
      </c>
      <c r="S244">
        <v>147</v>
      </c>
      <c r="T244">
        <v>151.5</v>
      </c>
      <c r="U244" t="s">
        <v>32</v>
      </c>
      <c r="V244">
        <v>148.4</v>
      </c>
      <c r="W244">
        <v>150.9</v>
      </c>
      <c r="X244">
        <v>154.30000000000001</v>
      </c>
      <c r="Y244">
        <v>132.1</v>
      </c>
      <c r="Z244">
        <v>149.1</v>
      </c>
      <c r="AA244">
        <v>160.80000000000001</v>
      </c>
      <c r="AB244">
        <v>140.6</v>
      </c>
      <c r="AC244">
        <v>146.1</v>
      </c>
      <c r="AD244">
        <v>149.9</v>
      </c>
      <c r="AE244">
        <f t="shared" si="15"/>
        <v>1613.7</v>
      </c>
      <c r="AF244">
        <f t="shared" si="16"/>
        <v>290.89999999999998</v>
      </c>
      <c r="AG244">
        <f t="shared" si="17"/>
        <v>294.89999999999998</v>
      </c>
      <c r="AH244">
        <f t="shared" si="18"/>
        <v>281.2</v>
      </c>
      <c r="AI244">
        <f t="shared" si="19"/>
        <v>894.6</v>
      </c>
      <c r="AK244" s="18">
        <f>(Table1[[#This Row],[Food Category]]/$AJ$375)</f>
        <v>0</v>
      </c>
    </row>
    <row r="245" spans="1:37" hidden="1" x14ac:dyDescent="0.3">
      <c r="A245" t="s">
        <v>33</v>
      </c>
      <c r="B245">
        <v>2019</v>
      </c>
      <c r="C245" t="s">
        <v>45</v>
      </c>
      <c r="D245">
        <v>144.1</v>
      </c>
      <c r="E245">
        <v>162.4</v>
      </c>
      <c r="F245">
        <v>148.4</v>
      </c>
      <c r="G245">
        <v>145.9</v>
      </c>
      <c r="H245">
        <v>121.5</v>
      </c>
      <c r="I245">
        <v>148.80000000000001</v>
      </c>
      <c r="J245">
        <v>215.7</v>
      </c>
      <c r="K245">
        <v>134.6</v>
      </c>
      <c r="L245">
        <v>115</v>
      </c>
      <c r="M245">
        <v>146.30000000000001</v>
      </c>
      <c r="N245">
        <v>130.5</v>
      </c>
      <c r="O245">
        <v>157.19999999999999</v>
      </c>
      <c r="P245">
        <v>153.6</v>
      </c>
      <c r="Q245">
        <v>169.9</v>
      </c>
      <c r="R245">
        <v>146.30000000000001</v>
      </c>
      <c r="S245">
        <v>132.6</v>
      </c>
      <c r="T245">
        <v>144.19999999999999</v>
      </c>
      <c r="U245">
        <v>153.5</v>
      </c>
      <c r="V245">
        <v>132.19999999999999</v>
      </c>
      <c r="W245">
        <v>139.1</v>
      </c>
      <c r="X245">
        <v>142.80000000000001</v>
      </c>
      <c r="Y245">
        <v>121.7</v>
      </c>
      <c r="Z245">
        <v>136.69999999999999</v>
      </c>
      <c r="AA245">
        <v>151.80000000000001</v>
      </c>
      <c r="AB245">
        <v>139.80000000000001</v>
      </c>
      <c r="AC245">
        <v>136.30000000000001</v>
      </c>
      <c r="AD245">
        <v>147</v>
      </c>
      <c r="AE245">
        <f t="shared" si="15"/>
        <v>1629.6999999999998</v>
      </c>
      <c r="AF245">
        <f t="shared" si="16"/>
        <v>294.3</v>
      </c>
      <c r="AG245">
        <f t="shared" si="17"/>
        <v>282.60000000000002</v>
      </c>
      <c r="AH245">
        <f t="shared" si="18"/>
        <v>258.39999999999998</v>
      </c>
      <c r="AI245">
        <f t="shared" si="19"/>
        <v>999.7</v>
      </c>
      <c r="AK245" s="18">
        <f>(Table1[[#This Row],[Food Category]]/$AJ$375)</f>
        <v>0</v>
      </c>
    </row>
    <row r="246" spans="1:37" hidden="1" x14ac:dyDescent="0.3">
      <c r="A246" t="s">
        <v>34</v>
      </c>
      <c r="B246">
        <v>2019</v>
      </c>
      <c r="C246" t="s">
        <v>45</v>
      </c>
      <c r="D246">
        <v>142.5</v>
      </c>
      <c r="E246">
        <v>163.19999999999999</v>
      </c>
      <c r="F246">
        <v>145.6</v>
      </c>
      <c r="G246">
        <v>146.69999999999999</v>
      </c>
      <c r="H246">
        <v>124.3</v>
      </c>
      <c r="I246">
        <v>147.4</v>
      </c>
      <c r="J246">
        <v>199.6</v>
      </c>
      <c r="K246">
        <v>135.69999999999999</v>
      </c>
      <c r="L246">
        <v>114.2</v>
      </c>
      <c r="M246">
        <v>147</v>
      </c>
      <c r="N246">
        <v>135.30000000000001</v>
      </c>
      <c r="O246">
        <v>157.5</v>
      </c>
      <c r="P246">
        <v>151.9</v>
      </c>
      <c r="Q246">
        <v>167.9</v>
      </c>
      <c r="R246">
        <v>149.9</v>
      </c>
      <c r="S246">
        <v>141</v>
      </c>
      <c r="T246">
        <v>148.6</v>
      </c>
      <c r="U246">
        <v>153.5</v>
      </c>
      <c r="V246">
        <v>142.30000000000001</v>
      </c>
      <c r="W246">
        <v>145.30000000000001</v>
      </c>
      <c r="X246">
        <v>149.9</v>
      </c>
      <c r="Y246">
        <v>126.6</v>
      </c>
      <c r="Z246">
        <v>142.1</v>
      </c>
      <c r="AA246">
        <v>155.5</v>
      </c>
      <c r="AB246">
        <v>140.30000000000001</v>
      </c>
      <c r="AC246">
        <v>141.30000000000001</v>
      </c>
      <c r="AD246">
        <v>148.6</v>
      </c>
      <c r="AE246">
        <f t="shared" si="15"/>
        <v>1618.6000000000001</v>
      </c>
      <c r="AF246">
        <f t="shared" si="16"/>
        <v>292.29999999999995</v>
      </c>
      <c r="AG246">
        <f t="shared" si="17"/>
        <v>290.20000000000005</v>
      </c>
      <c r="AH246">
        <f t="shared" si="18"/>
        <v>268.7</v>
      </c>
      <c r="AI246">
        <f t="shared" si="19"/>
        <v>1025.5</v>
      </c>
      <c r="AK246" s="18">
        <f>(Table1[[#This Row],[Food Category]]/$AJ$375)</f>
        <v>0</v>
      </c>
    </row>
    <row r="247" spans="1:37" hidden="1" x14ac:dyDescent="0.3">
      <c r="A247" t="s">
        <v>30</v>
      </c>
      <c r="B247">
        <v>2019</v>
      </c>
      <c r="C247" t="s">
        <v>46</v>
      </c>
      <c r="D247">
        <v>142.80000000000001</v>
      </c>
      <c r="E247">
        <v>165.3</v>
      </c>
      <c r="F247">
        <v>149.5</v>
      </c>
      <c r="G247">
        <v>148.69999999999999</v>
      </c>
      <c r="H247">
        <v>127.5</v>
      </c>
      <c r="I247">
        <v>144.30000000000001</v>
      </c>
      <c r="J247">
        <v>209.5</v>
      </c>
      <c r="K247">
        <v>138.80000000000001</v>
      </c>
      <c r="L247">
        <v>113.6</v>
      </c>
      <c r="M247">
        <v>149.1</v>
      </c>
      <c r="N247">
        <v>139.30000000000001</v>
      </c>
      <c r="O247">
        <v>158.30000000000001</v>
      </c>
      <c r="P247">
        <v>154.30000000000001</v>
      </c>
      <c r="Q247">
        <v>167.8</v>
      </c>
      <c r="R247">
        <v>152.6</v>
      </c>
      <c r="S247">
        <v>147.30000000000001</v>
      </c>
      <c r="T247">
        <v>151.9</v>
      </c>
      <c r="U247" t="s">
        <v>32</v>
      </c>
      <c r="V247">
        <v>149.9</v>
      </c>
      <c r="W247">
        <v>151.19999999999999</v>
      </c>
      <c r="X247">
        <v>154.80000000000001</v>
      </c>
      <c r="Y247">
        <v>135</v>
      </c>
      <c r="Z247">
        <v>149.5</v>
      </c>
      <c r="AA247">
        <v>161.1</v>
      </c>
      <c r="AB247">
        <v>140.6</v>
      </c>
      <c r="AC247">
        <v>147.1</v>
      </c>
      <c r="AD247">
        <v>152.30000000000001</v>
      </c>
      <c r="AE247">
        <f t="shared" si="15"/>
        <v>1642.7999999999997</v>
      </c>
      <c r="AF247">
        <f t="shared" si="16"/>
        <v>298.2</v>
      </c>
      <c r="AG247">
        <f t="shared" si="17"/>
        <v>295.39999999999998</v>
      </c>
      <c r="AH247">
        <f t="shared" si="18"/>
        <v>284.5</v>
      </c>
      <c r="AI247">
        <f t="shared" si="19"/>
        <v>903.30000000000018</v>
      </c>
      <c r="AK247" s="18">
        <f>(Table1[[#This Row],[Food Category]]/$AJ$375)</f>
        <v>0</v>
      </c>
    </row>
    <row r="248" spans="1:37" hidden="1" x14ac:dyDescent="0.3">
      <c r="A248" t="s">
        <v>33</v>
      </c>
      <c r="B248">
        <v>2019</v>
      </c>
      <c r="C248" t="s">
        <v>46</v>
      </c>
      <c r="D248">
        <v>144.9</v>
      </c>
      <c r="E248">
        <v>164.5</v>
      </c>
      <c r="F248">
        <v>153.69999999999999</v>
      </c>
      <c r="G248">
        <v>147.5</v>
      </c>
      <c r="H248">
        <v>122.7</v>
      </c>
      <c r="I248">
        <v>147.19999999999999</v>
      </c>
      <c r="J248">
        <v>231.5</v>
      </c>
      <c r="K248">
        <v>137.19999999999999</v>
      </c>
      <c r="L248">
        <v>114.7</v>
      </c>
      <c r="M248">
        <v>148</v>
      </c>
      <c r="N248">
        <v>130.80000000000001</v>
      </c>
      <c r="O248">
        <v>157.69999999999999</v>
      </c>
      <c r="P248">
        <v>156.30000000000001</v>
      </c>
      <c r="Q248">
        <v>170.4</v>
      </c>
      <c r="R248">
        <v>146.80000000000001</v>
      </c>
      <c r="S248">
        <v>132.80000000000001</v>
      </c>
      <c r="T248">
        <v>144.6</v>
      </c>
      <c r="U248">
        <v>152.80000000000001</v>
      </c>
      <c r="V248">
        <v>133.6</v>
      </c>
      <c r="W248">
        <v>139.80000000000001</v>
      </c>
      <c r="X248">
        <v>143.19999999999999</v>
      </c>
      <c r="Y248">
        <v>125.2</v>
      </c>
      <c r="Z248">
        <v>136.80000000000001</v>
      </c>
      <c r="AA248">
        <v>151.9</v>
      </c>
      <c r="AB248">
        <v>140.19999999999999</v>
      </c>
      <c r="AC248">
        <v>137.69999999999999</v>
      </c>
      <c r="AD248">
        <v>148.30000000000001</v>
      </c>
      <c r="AE248">
        <f t="shared" si="15"/>
        <v>1655.5</v>
      </c>
      <c r="AF248">
        <f t="shared" si="16"/>
        <v>301.2</v>
      </c>
      <c r="AG248">
        <f t="shared" si="17"/>
        <v>283.39999999999998</v>
      </c>
      <c r="AH248">
        <f t="shared" si="18"/>
        <v>262</v>
      </c>
      <c r="AI248">
        <f t="shared" si="19"/>
        <v>1007.8000000000002</v>
      </c>
      <c r="AK248" s="18">
        <f>(Table1[[#This Row],[Food Category]]/$AJ$375)</f>
        <v>0</v>
      </c>
    </row>
    <row r="249" spans="1:37" hidden="1" x14ac:dyDescent="0.3">
      <c r="A249" t="s">
        <v>34</v>
      </c>
      <c r="B249">
        <v>2019</v>
      </c>
      <c r="C249" t="s">
        <v>46</v>
      </c>
      <c r="D249">
        <v>143.5</v>
      </c>
      <c r="E249">
        <v>165</v>
      </c>
      <c r="F249">
        <v>151.1</v>
      </c>
      <c r="G249">
        <v>148.30000000000001</v>
      </c>
      <c r="H249">
        <v>125.7</v>
      </c>
      <c r="I249">
        <v>145.69999999999999</v>
      </c>
      <c r="J249">
        <v>217</v>
      </c>
      <c r="K249">
        <v>138.30000000000001</v>
      </c>
      <c r="L249">
        <v>114</v>
      </c>
      <c r="M249">
        <v>148.69999999999999</v>
      </c>
      <c r="N249">
        <v>135.80000000000001</v>
      </c>
      <c r="O249">
        <v>158</v>
      </c>
      <c r="P249">
        <v>155</v>
      </c>
      <c r="Q249">
        <v>168.5</v>
      </c>
      <c r="R249">
        <v>150.30000000000001</v>
      </c>
      <c r="S249">
        <v>141.30000000000001</v>
      </c>
      <c r="T249">
        <v>149</v>
      </c>
      <c r="U249">
        <v>152.80000000000001</v>
      </c>
      <c r="V249">
        <v>143.69999999999999</v>
      </c>
      <c r="W249">
        <v>145.80000000000001</v>
      </c>
      <c r="X249">
        <v>150.4</v>
      </c>
      <c r="Y249">
        <v>129.80000000000001</v>
      </c>
      <c r="Z249">
        <v>142.30000000000001</v>
      </c>
      <c r="AA249">
        <v>155.69999999999999</v>
      </c>
      <c r="AB249">
        <v>140.4</v>
      </c>
      <c r="AC249">
        <v>142.5</v>
      </c>
      <c r="AD249">
        <v>150.4</v>
      </c>
      <c r="AE249">
        <f t="shared" si="15"/>
        <v>1646.7</v>
      </c>
      <c r="AF249">
        <f t="shared" si="16"/>
        <v>299.39999999999998</v>
      </c>
      <c r="AG249">
        <f t="shared" si="17"/>
        <v>290.8</v>
      </c>
      <c r="AH249">
        <f t="shared" si="18"/>
        <v>272.10000000000002</v>
      </c>
      <c r="AI249">
        <f t="shared" si="19"/>
        <v>1033.5</v>
      </c>
      <c r="AK249" s="18">
        <f>(Table1[[#This Row],[Food Category]]/$AJ$375)</f>
        <v>0</v>
      </c>
    </row>
    <row r="250" spans="1:37" hidden="1" x14ac:dyDescent="0.3">
      <c r="A250" t="s">
        <v>30</v>
      </c>
      <c r="B250">
        <v>2020</v>
      </c>
      <c r="C250" t="s">
        <v>31</v>
      </c>
      <c r="D250">
        <v>143.69999999999999</v>
      </c>
      <c r="E250">
        <v>167.3</v>
      </c>
      <c r="F250">
        <v>153.5</v>
      </c>
      <c r="G250">
        <v>150.5</v>
      </c>
      <c r="H250">
        <v>132</v>
      </c>
      <c r="I250">
        <v>142.19999999999999</v>
      </c>
      <c r="J250">
        <v>191.5</v>
      </c>
      <c r="K250">
        <v>141.1</v>
      </c>
      <c r="L250">
        <v>113.8</v>
      </c>
      <c r="M250">
        <v>151.6</v>
      </c>
      <c r="N250">
        <v>139.69999999999999</v>
      </c>
      <c r="O250">
        <v>158.69999999999999</v>
      </c>
      <c r="P250">
        <v>153</v>
      </c>
      <c r="Q250">
        <v>168.6</v>
      </c>
      <c r="R250">
        <v>152.80000000000001</v>
      </c>
      <c r="S250">
        <v>147.4</v>
      </c>
      <c r="T250">
        <v>152.1</v>
      </c>
      <c r="U250" t="s">
        <v>32</v>
      </c>
      <c r="V250">
        <v>150.4</v>
      </c>
      <c r="W250">
        <v>151.69999999999999</v>
      </c>
      <c r="X250">
        <v>155.69999999999999</v>
      </c>
      <c r="Y250">
        <v>136.30000000000001</v>
      </c>
      <c r="Z250">
        <v>150.1</v>
      </c>
      <c r="AA250">
        <v>161.69999999999999</v>
      </c>
      <c r="AB250">
        <v>142.5</v>
      </c>
      <c r="AC250">
        <v>148.1</v>
      </c>
      <c r="AD250">
        <v>151.9</v>
      </c>
      <c r="AE250">
        <f t="shared" si="15"/>
        <v>1634.6000000000001</v>
      </c>
      <c r="AF250">
        <f t="shared" si="16"/>
        <v>304</v>
      </c>
      <c r="AG250">
        <f t="shared" si="17"/>
        <v>298.2</v>
      </c>
      <c r="AH250">
        <f t="shared" si="18"/>
        <v>286.39999999999998</v>
      </c>
      <c r="AI250">
        <f t="shared" si="19"/>
        <v>907</v>
      </c>
      <c r="AK250" s="18">
        <f>(Table1[[#This Row],[Food Category]]/$AJ$375)</f>
        <v>0</v>
      </c>
    </row>
    <row r="251" spans="1:37" hidden="1" x14ac:dyDescent="0.3">
      <c r="A251" t="s">
        <v>33</v>
      </c>
      <c r="B251">
        <v>2020</v>
      </c>
      <c r="C251" t="s">
        <v>31</v>
      </c>
      <c r="D251">
        <v>145.6</v>
      </c>
      <c r="E251">
        <v>167.6</v>
      </c>
      <c r="F251">
        <v>157</v>
      </c>
      <c r="G251">
        <v>149.30000000000001</v>
      </c>
      <c r="H251">
        <v>126.3</v>
      </c>
      <c r="I251">
        <v>144.4</v>
      </c>
      <c r="J251">
        <v>207.8</v>
      </c>
      <c r="K251">
        <v>139.1</v>
      </c>
      <c r="L251">
        <v>114.8</v>
      </c>
      <c r="M251">
        <v>149.5</v>
      </c>
      <c r="N251">
        <v>131.1</v>
      </c>
      <c r="O251">
        <v>158.5</v>
      </c>
      <c r="P251">
        <v>154.4</v>
      </c>
      <c r="Q251">
        <v>170.8</v>
      </c>
      <c r="R251">
        <v>147</v>
      </c>
      <c r="S251">
        <v>133.19999999999999</v>
      </c>
      <c r="T251">
        <v>144.9</v>
      </c>
      <c r="U251">
        <v>153.9</v>
      </c>
      <c r="V251">
        <v>135.1</v>
      </c>
      <c r="W251">
        <v>140.1</v>
      </c>
      <c r="X251">
        <v>143.80000000000001</v>
      </c>
      <c r="Y251">
        <v>126.1</v>
      </c>
      <c r="Z251">
        <v>137.19999999999999</v>
      </c>
      <c r="AA251">
        <v>152.1</v>
      </c>
      <c r="AB251">
        <v>142.1</v>
      </c>
      <c r="AC251">
        <v>138.4</v>
      </c>
      <c r="AD251">
        <v>148.19999999999999</v>
      </c>
      <c r="AE251">
        <f t="shared" si="15"/>
        <v>1639.1000000000001</v>
      </c>
      <c r="AF251">
        <f t="shared" si="16"/>
        <v>306.3</v>
      </c>
      <c r="AG251">
        <f t="shared" si="17"/>
        <v>285.89999999999998</v>
      </c>
      <c r="AH251">
        <f t="shared" si="18"/>
        <v>263.29999999999995</v>
      </c>
      <c r="AI251">
        <f t="shared" si="19"/>
        <v>1012.6000000000001</v>
      </c>
      <c r="AK251" s="18">
        <f>(Table1[[#This Row],[Food Category]]/$AJ$375)</f>
        <v>0</v>
      </c>
    </row>
    <row r="252" spans="1:37" hidden="1" x14ac:dyDescent="0.3">
      <c r="A252" t="s">
        <v>34</v>
      </c>
      <c r="B252">
        <v>2020</v>
      </c>
      <c r="C252" t="s">
        <v>31</v>
      </c>
      <c r="D252">
        <v>144.30000000000001</v>
      </c>
      <c r="E252">
        <v>167.4</v>
      </c>
      <c r="F252">
        <v>154.9</v>
      </c>
      <c r="G252">
        <v>150.1</v>
      </c>
      <c r="H252">
        <v>129.9</v>
      </c>
      <c r="I252">
        <v>143.19999999999999</v>
      </c>
      <c r="J252">
        <v>197</v>
      </c>
      <c r="K252">
        <v>140.4</v>
      </c>
      <c r="L252">
        <v>114.1</v>
      </c>
      <c r="M252">
        <v>150.9</v>
      </c>
      <c r="N252">
        <v>136.1</v>
      </c>
      <c r="O252">
        <v>158.6</v>
      </c>
      <c r="P252">
        <v>153.5</v>
      </c>
      <c r="Q252">
        <v>169.2</v>
      </c>
      <c r="R252">
        <v>150.5</v>
      </c>
      <c r="S252">
        <v>141.5</v>
      </c>
      <c r="T252">
        <v>149.19999999999999</v>
      </c>
      <c r="U252">
        <v>153.9</v>
      </c>
      <c r="V252">
        <v>144.6</v>
      </c>
      <c r="W252">
        <v>146.19999999999999</v>
      </c>
      <c r="X252">
        <v>151.19999999999999</v>
      </c>
      <c r="Y252">
        <v>130.9</v>
      </c>
      <c r="Z252">
        <v>142.80000000000001</v>
      </c>
      <c r="AA252">
        <v>156.1</v>
      </c>
      <c r="AB252">
        <v>142.30000000000001</v>
      </c>
      <c r="AC252">
        <v>143.4</v>
      </c>
      <c r="AD252">
        <v>150.19999999999999</v>
      </c>
      <c r="AE252">
        <f t="shared" si="15"/>
        <v>1635.3999999999999</v>
      </c>
      <c r="AF252">
        <f t="shared" si="16"/>
        <v>305</v>
      </c>
      <c r="AG252">
        <f t="shared" si="17"/>
        <v>293.5</v>
      </c>
      <c r="AH252">
        <f t="shared" si="18"/>
        <v>273.70000000000005</v>
      </c>
      <c r="AI252">
        <f t="shared" si="19"/>
        <v>1038.4000000000001</v>
      </c>
      <c r="AK252" s="18">
        <f>(Table1[[#This Row],[Food Category]]/$AJ$375)</f>
        <v>0</v>
      </c>
    </row>
    <row r="253" spans="1:37" hidden="1" x14ac:dyDescent="0.3">
      <c r="A253" t="s">
        <v>30</v>
      </c>
      <c r="B253">
        <v>2020</v>
      </c>
      <c r="C253" t="s">
        <v>35</v>
      </c>
      <c r="D253">
        <v>144.19999999999999</v>
      </c>
      <c r="E253">
        <v>167.5</v>
      </c>
      <c r="F253">
        <v>150.9</v>
      </c>
      <c r="G253">
        <v>150.9</v>
      </c>
      <c r="H253">
        <v>133.69999999999999</v>
      </c>
      <c r="I253">
        <v>140.69999999999999</v>
      </c>
      <c r="J253">
        <v>165.1</v>
      </c>
      <c r="K253">
        <v>141.80000000000001</v>
      </c>
      <c r="L253">
        <v>113.1</v>
      </c>
      <c r="M253">
        <v>152.80000000000001</v>
      </c>
      <c r="N253">
        <v>140.1</v>
      </c>
      <c r="O253">
        <v>159.19999999999999</v>
      </c>
      <c r="P253">
        <v>149.80000000000001</v>
      </c>
      <c r="Q253">
        <v>169.4</v>
      </c>
      <c r="R253">
        <v>153</v>
      </c>
      <c r="S253">
        <v>147.5</v>
      </c>
      <c r="T253">
        <v>152.30000000000001</v>
      </c>
      <c r="U253" t="s">
        <v>32</v>
      </c>
      <c r="V253">
        <v>152.30000000000001</v>
      </c>
      <c r="W253">
        <v>151.80000000000001</v>
      </c>
      <c r="X253">
        <v>156.19999999999999</v>
      </c>
      <c r="Y253">
        <v>136</v>
      </c>
      <c r="Z253">
        <v>150.4</v>
      </c>
      <c r="AA253">
        <v>161.9</v>
      </c>
      <c r="AB253">
        <v>143.4</v>
      </c>
      <c r="AC253">
        <v>148.4</v>
      </c>
      <c r="AD253">
        <v>150.4</v>
      </c>
      <c r="AE253">
        <f t="shared" si="15"/>
        <v>1608</v>
      </c>
      <c r="AF253">
        <f t="shared" si="16"/>
        <v>301.8</v>
      </c>
      <c r="AG253">
        <f t="shared" si="17"/>
        <v>299.60000000000002</v>
      </c>
      <c r="AH253">
        <f t="shared" si="18"/>
        <v>286.39999999999998</v>
      </c>
      <c r="AI253">
        <f t="shared" si="19"/>
        <v>908.3</v>
      </c>
      <c r="AK253" s="18">
        <f>(Table1[[#This Row],[Food Category]]/$AJ$375)</f>
        <v>0</v>
      </c>
    </row>
    <row r="254" spans="1:37" hidden="1" x14ac:dyDescent="0.3">
      <c r="A254" t="s">
        <v>33</v>
      </c>
      <c r="B254">
        <v>2020</v>
      </c>
      <c r="C254" t="s">
        <v>35</v>
      </c>
      <c r="D254">
        <v>146.19999999999999</v>
      </c>
      <c r="E254">
        <v>167.6</v>
      </c>
      <c r="F254">
        <v>153.1</v>
      </c>
      <c r="G254">
        <v>150.69999999999999</v>
      </c>
      <c r="H254">
        <v>127.4</v>
      </c>
      <c r="I254">
        <v>143.1</v>
      </c>
      <c r="J254">
        <v>181.7</v>
      </c>
      <c r="K254">
        <v>139.6</v>
      </c>
      <c r="L254">
        <v>114.6</v>
      </c>
      <c r="M254">
        <v>150.4</v>
      </c>
      <c r="N254">
        <v>131.5</v>
      </c>
      <c r="O254">
        <v>159</v>
      </c>
      <c r="P254">
        <v>151.69999999999999</v>
      </c>
      <c r="Q254">
        <v>172</v>
      </c>
      <c r="R254">
        <v>147.30000000000001</v>
      </c>
      <c r="S254">
        <v>133.5</v>
      </c>
      <c r="T254">
        <v>145.19999999999999</v>
      </c>
      <c r="U254">
        <v>154.80000000000001</v>
      </c>
      <c r="V254">
        <v>138.9</v>
      </c>
      <c r="W254">
        <v>140.4</v>
      </c>
      <c r="X254">
        <v>144.4</v>
      </c>
      <c r="Y254">
        <v>125.2</v>
      </c>
      <c r="Z254">
        <v>137.69999999999999</v>
      </c>
      <c r="AA254">
        <v>152.19999999999999</v>
      </c>
      <c r="AB254">
        <v>143.5</v>
      </c>
      <c r="AC254">
        <v>138.4</v>
      </c>
      <c r="AD254">
        <v>147.69999999999999</v>
      </c>
      <c r="AE254">
        <f t="shared" si="15"/>
        <v>1612.8000000000002</v>
      </c>
      <c r="AF254">
        <f t="shared" si="16"/>
        <v>303.79999999999995</v>
      </c>
      <c r="AG254">
        <f t="shared" si="17"/>
        <v>287.89999999999998</v>
      </c>
      <c r="AH254">
        <f t="shared" si="18"/>
        <v>262.89999999999998</v>
      </c>
      <c r="AI254">
        <f t="shared" si="19"/>
        <v>1017.4000000000001</v>
      </c>
      <c r="AK254" s="18">
        <f>(Table1[[#This Row],[Food Category]]/$AJ$375)</f>
        <v>0</v>
      </c>
    </row>
    <row r="255" spans="1:37" hidden="1" x14ac:dyDescent="0.3">
      <c r="A255" t="s">
        <v>34</v>
      </c>
      <c r="B255">
        <v>2020</v>
      </c>
      <c r="C255" t="s">
        <v>35</v>
      </c>
      <c r="D255">
        <v>144.80000000000001</v>
      </c>
      <c r="E255">
        <v>167.5</v>
      </c>
      <c r="F255">
        <v>151.80000000000001</v>
      </c>
      <c r="G255">
        <v>150.80000000000001</v>
      </c>
      <c r="H255">
        <v>131.4</v>
      </c>
      <c r="I255">
        <v>141.80000000000001</v>
      </c>
      <c r="J255">
        <v>170.7</v>
      </c>
      <c r="K255">
        <v>141.1</v>
      </c>
      <c r="L255">
        <v>113.6</v>
      </c>
      <c r="M255">
        <v>152</v>
      </c>
      <c r="N255">
        <v>136.5</v>
      </c>
      <c r="O255">
        <v>159.1</v>
      </c>
      <c r="P255">
        <v>150.5</v>
      </c>
      <c r="Q255">
        <v>170.1</v>
      </c>
      <c r="R255">
        <v>150.80000000000001</v>
      </c>
      <c r="S255">
        <v>141.69999999999999</v>
      </c>
      <c r="T255">
        <v>149.5</v>
      </c>
      <c r="U255">
        <v>154.80000000000001</v>
      </c>
      <c r="V255">
        <v>147.19999999999999</v>
      </c>
      <c r="W255">
        <v>146.4</v>
      </c>
      <c r="X255">
        <v>151.69999999999999</v>
      </c>
      <c r="Y255">
        <v>130.30000000000001</v>
      </c>
      <c r="Z255">
        <v>143.19999999999999</v>
      </c>
      <c r="AA255">
        <v>156.19999999999999</v>
      </c>
      <c r="AB255">
        <v>143.4</v>
      </c>
      <c r="AC255">
        <v>143.6</v>
      </c>
      <c r="AD255">
        <v>149.1</v>
      </c>
      <c r="AE255">
        <f t="shared" si="15"/>
        <v>1609</v>
      </c>
      <c r="AF255">
        <f t="shared" si="16"/>
        <v>302.60000000000002</v>
      </c>
      <c r="AG255">
        <f t="shared" si="17"/>
        <v>295.10000000000002</v>
      </c>
      <c r="AH255">
        <f t="shared" si="18"/>
        <v>273.5</v>
      </c>
      <c r="AI255">
        <f t="shared" si="19"/>
        <v>1041.5</v>
      </c>
      <c r="AK255" s="18">
        <f>(Table1[[#This Row],[Food Category]]/$AJ$375)</f>
        <v>0</v>
      </c>
    </row>
    <row r="256" spans="1:37" hidden="1" x14ac:dyDescent="0.3">
      <c r="A256" t="s">
        <v>30</v>
      </c>
      <c r="B256">
        <v>2020</v>
      </c>
      <c r="C256" t="s">
        <v>36</v>
      </c>
      <c r="D256">
        <v>144.4</v>
      </c>
      <c r="E256">
        <v>166.8</v>
      </c>
      <c r="F256">
        <v>147.6</v>
      </c>
      <c r="G256">
        <v>151.69999999999999</v>
      </c>
      <c r="H256">
        <v>133.30000000000001</v>
      </c>
      <c r="I256">
        <v>141.80000000000001</v>
      </c>
      <c r="J256">
        <v>152.30000000000001</v>
      </c>
      <c r="K256">
        <v>141.80000000000001</v>
      </c>
      <c r="L256">
        <v>112.6</v>
      </c>
      <c r="M256">
        <v>154</v>
      </c>
      <c r="N256">
        <v>140.1</v>
      </c>
      <c r="O256">
        <v>160</v>
      </c>
      <c r="P256">
        <v>148.19999999999999</v>
      </c>
      <c r="Q256">
        <v>170.5</v>
      </c>
      <c r="R256">
        <v>153.4</v>
      </c>
      <c r="S256">
        <v>147.6</v>
      </c>
      <c r="T256">
        <v>152.5</v>
      </c>
      <c r="U256" t="s">
        <v>32</v>
      </c>
      <c r="V256">
        <v>153.4</v>
      </c>
      <c r="W256">
        <v>151.5</v>
      </c>
      <c r="X256">
        <v>156.69999999999999</v>
      </c>
      <c r="Y256">
        <v>135.80000000000001</v>
      </c>
      <c r="Z256">
        <v>151.19999999999999</v>
      </c>
      <c r="AA256">
        <v>161.19999999999999</v>
      </c>
      <c r="AB256">
        <v>145.1</v>
      </c>
      <c r="AC256">
        <v>148.6</v>
      </c>
      <c r="AD256">
        <v>149.80000000000001</v>
      </c>
      <c r="AE256">
        <f t="shared" si="15"/>
        <v>1595.3</v>
      </c>
      <c r="AF256">
        <f t="shared" si="16"/>
        <v>299.29999999999995</v>
      </c>
      <c r="AG256">
        <f t="shared" si="17"/>
        <v>301.79999999999995</v>
      </c>
      <c r="AH256">
        <f t="shared" si="18"/>
        <v>287</v>
      </c>
      <c r="AI256">
        <f t="shared" si="19"/>
        <v>909.60000000000014</v>
      </c>
      <c r="AK256" s="18">
        <f>(Table1[[#This Row],[Food Category]]/$AJ$375)</f>
        <v>0</v>
      </c>
    </row>
    <row r="257" spans="1:37" hidden="1" x14ac:dyDescent="0.3">
      <c r="A257" t="s">
        <v>33</v>
      </c>
      <c r="B257">
        <v>2020</v>
      </c>
      <c r="C257" t="s">
        <v>36</v>
      </c>
      <c r="D257">
        <v>146.5</v>
      </c>
      <c r="E257">
        <v>167.5</v>
      </c>
      <c r="F257">
        <v>148.9</v>
      </c>
      <c r="G257">
        <v>151.1</v>
      </c>
      <c r="H257">
        <v>127.5</v>
      </c>
      <c r="I257">
        <v>143.30000000000001</v>
      </c>
      <c r="J257">
        <v>167</v>
      </c>
      <c r="K257">
        <v>139.69999999999999</v>
      </c>
      <c r="L257">
        <v>114.4</v>
      </c>
      <c r="M257">
        <v>151.5</v>
      </c>
      <c r="N257">
        <v>131.9</v>
      </c>
      <c r="O257">
        <v>159.1</v>
      </c>
      <c r="P257">
        <v>150.1</v>
      </c>
      <c r="Q257">
        <v>173.3</v>
      </c>
      <c r="R257">
        <v>147.69999999999999</v>
      </c>
      <c r="S257">
        <v>133.80000000000001</v>
      </c>
      <c r="T257">
        <v>145.6</v>
      </c>
      <c r="U257">
        <v>154.5</v>
      </c>
      <c r="V257">
        <v>141.4</v>
      </c>
      <c r="W257">
        <v>140.80000000000001</v>
      </c>
      <c r="X257">
        <v>145</v>
      </c>
      <c r="Y257">
        <v>124.6</v>
      </c>
      <c r="Z257">
        <v>137.9</v>
      </c>
      <c r="AA257">
        <v>152.5</v>
      </c>
      <c r="AB257">
        <v>145.30000000000001</v>
      </c>
      <c r="AC257">
        <v>138.69999999999999</v>
      </c>
      <c r="AD257">
        <v>147.30000000000001</v>
      </c>
      <c r="AE257">
        <f t="shared" ref="AE257:AE321" si="20">SUM(D257,E257,H257,I257,J257,K257,L257,M257,N257,O257,P257)</f>
        <v>1598.5</v>
      </c>
      <c r="AF257">
        <f t="shared" ref="AF257:AF321" si="21">SUM(F257,G257)</f>
        <v>300</v>
      </c>
      <c r="AG257">
        <f t="shared" ref="AG257:AG321" si="22">SUM(X257,AB257)</f>
        <v>290.3</v>
      </c>
      <c r="AH257">
        <f t="shared" ref="AH257:AH321" si="23">SUM(Z257,Y257)</f>
        <v>262.5</v>
      </c>
      <c r="AI257">
        <f t="shared" ref="AI257:AI321" si="24">SUM(Q257,U257,V257,W257,Y257,AC257,AD257)</f>
        <v>1020.5999999999999</v>
      </c>
      <c r="AK257" s="18">
        <f>(Table1[[#This Row],[Food Category]]/$AJ$375)</f>
        <v>0</v>
      </c>
    </row>
    <row r="258" spans="1:37" hidden="1" x14ac:dyDescent="0.3">
      <c r="A258" t="s">
        <v>34</v>
      </c>
      <c r="B258">
        <v>2019</v>
      </c>
      <c r="C258" t="s">
        <v>37</v>
      </c>
      <c r="AD258">
        <v>150.69999999999999</v>
      </c>
      <c r="AE258">
        <f>SUM(D258,E258,H258,I258,J258,K258,L258,M258,N258,O258,P258)</f>
        <v>0</v>
      </c>
      <c r="AF258">
        <f>SUM(F258,G258)</f>
        <v>0</v>
      </c>
      <c r="AG258">
        <f>SUM(X258,AB258)</f>
        <v>0</v>
      </c>
      <c r="AH258">
        <f>SUM(Z258,Y258)</f>
        <v>0</v>
      </c>
      <c r="AI258">
        <f>SUM(Q258,U258,V258,W258,Y258,AC258,AD258)</f>
        <v>150.69999999999999</v>
      </c>
      <c r="AK258" s="18">
        <f>(Table1[[#This Row],[Food Category]]/$AJ$375)</f>
        <v>0</v>
      </c>
    </row>
    <row r="259" spans="1:37" hidden="1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  <c r="AE259">
        <f t="shared" si="20"/>
        <v>1595.8</v>
      </c>
      <c r="AF259">
        <f t="shared" si="21"/>
        <v>299.60000000000002</v>
      </c>
      <c r="AG259">
        <f t="shared" si="22"/>
        <v>297.5</v>
      </c>
      <c r="AH259">
        <f t="shared" si="23"/>
        <v>273.60000000000002</v>
      </c>
      <c r="AI259">
        <f>SUM(Q259,U259,V259,W259,Y259,AC259,AD259)</f>
        <v>1043.3</v>
      </c>
      <c r="AK259" s="18">
        <f>(Table1[[#This Row],[Food Category]]/$AJ$375)</f>
        <v>0</v>
      </c>
    </row>
    <row r="260" spans="1:37" hidden="1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  <c r="AE260">
        <f t="shared" si="20"/>
        <v>1312.3</v>
      </c>
      <c r="AF260">
        <f t="shared" si="21"/>
        <v>302.5</v>
      </c>
      <c r="AG260">
        <f t="shared" si="22"/>
        <v>154.30000000000001</v>
      </c>
      <c r="AH260">
        <f t="shared" si="23"/>
        <v>0</v>
      </c>
      <c r="AI260">
        <f t="shared" si="24"/>
        <v>148.4</v>
      </c>
      <c r="AK260" s="18">
        <f>(Table1[[#This Row],[Food Category]]/$AJ$375)</f>
        <v>0</v>
      </c>
    </row>
    <row r="261" spans="1:37" hidden="1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  <c r="AE261">
        <f t="shared" si="20"/>
        <v>1329.3</v>
      </c>
      <c r="AF261">
        <f t="shared" si="21"/>
        <v>307.39999999999998</v>
      </c>
      <c r="AG261">
        <f t="shared" si="22"/>
        <v>144.80000000000001</v>
      </c>
      <c r="AH261">
        <f t="shared" si="23"/>
        <v>0</v>
      </c>
      <c r="AI261">
        <f t="shared" si="24"/>
        <v>292.7</v>
      </c>
      <c r="AK261" s="18">
        <f>(Table1[[#This Row],[Food Category]]/$AJ$375)</f>
        <v>0</v>
      </c>
    </row>
    <row r="262" spans="1:37" hidden="1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>
        <v>150.69999999999999</v>
      </c>
      <c r="AE262">
        <f t="shared" si="20"/>
        <v>1318.3</v>
      </c>
      <c r="AF262">
        <f t="shared" si="21"/>
        <v>304.39999999999998</v>
      </c>
      <c r="AG262">
        <f t="shared" si="22"/>
        <v>150.69999999999999</v>
      </c>
      <c r="AH262">
        <f t="shared" si="23"/>
        <v>0</v>
      </c>
      <c r="AI262">
        <f t="shared" si="24"/>
        <v>450.4</v>
      </c>
      <c r="AK262" s="18">
        <f>(Table1[[#This Row],[Food Category]]/$AJ$375)</f>
        <v>0</v>
      </c>
    </row>
    <row r="263" spans="1:37" hidden="1" x14ac:dyDescent="0.3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  <c r="AE263">
        <f t="shared" si="20"/>
        <v>0</v>
      </c>
      <c r="AF263">
        <f t="shared" si="21"/>
        <v>0</v>
      </c>
      <c r="AG263">
        <f t="shared" si="22"/>
        <v>0</v>
      </c>
      <c r="AH263">
        <f t="shared" si="23"/>
        <v>0</v>
      </c>
      <c r="AI263">
        <f t="shared" si="24"/>
        <v>0</v>
      </c>
      <c r="AK263" s="18">
        <f>(Table1[[#This Row],[Food Category]]/$AJ$375)</f>
        <v>0</v>
      </c>
    </row>
    <row r="264" spans="1:37" hidden="1" x14ac:dyDescent="0.3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  <c r="AE264">
        <f t="shared" si="20"/>
        <v>0</v>
      </c>
      <c r="AF264">
        <f t="shared" si="21"/>
        <v>0</v>
      </c>
      <c r="AG264">
        <f t="shared" si="22"/>
        <v>0</v>
      </c>
      <c r="AH264">
        <f t="shared" si="23"/>
        <v>0</v>
      </c>
      <c r="AI264">
        <f t="shared" si="24"/>
        <v>0</v>
      </c>
      <c r="AK264" s="18">
        <f>(Table1[[#This Row],[Food Category]]/$AJ$375)</f>
        <v>0</v>
      </c>
    </row>
    <row r="265" spans="1:37" hidden="1" x14ac:dyDescent="0.3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  <c r="AE265">
        <f t="shared" si="20"/>
        <v>0</v>
      </c>
      <c r="AF265">
        <f t="shared" si="21"/>
        <v>0</v>
      </c>
      <c r="AG265">
        <f t="shared" si="22"/>
        <v>0</v>
      </c>
      <c r="AH265">
        <f t="shared" si="23"/>
        <v>0</v>
      </c>
      <c r="AI265">
        <f t="shared" si="24"/>
        <v>0</v>
      </c>
      <c r="AK265" s="18">
        <f>(Table1[[#This Row],[Food Category]]/$AJ$375)</f>
        <v>0</v>
      </c>
    </row>
    <row r="266" spans="1:37" hidden="1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  <c r="AE266">
        <f t="shared" si="20"/>
        <v>1648.2999999999997</v>
      </c>
      <c r="AF266">
        <f t="shared" si="21"/>
        <v>302.70000000000005</v>
      </c>
      <c r="AG266">
        <f t="shared" si="22"/>
        <v>309.39999999999998</v>
      </c>
      <c r="AH266">
        <f t="shared" si="23"/>
        <v>294.60000000000002</v>
      </c>
      <c r="AI266">
        <f t="shared" si="24"/>
        <v>924.8</v>
      </c>
      <c r="AK266" s="18">
        <f>(Table1[[#This Row],[Food Category]]/$AJ$375)</f>
        <v>0</v>
      </c>
    </row>
    <row r="267" spans="1:37" hidden="1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  <c r="AE267">
        <f t="shared" si="20"/>
        <v>1687</v>
      </c>
      <c r="AF267">
        <f t="shared" si="21"/>
        <v>308</v>
      </c>
      <c r="AG267">
        <f t="shared" si="22"/>
        <v>300.29999999999995</v>
      </c>
      <c r="AH267">
        <f t="shared" si="23"/>
        <v>273.8</v>
      </c>
      <c r="AI267">
        <f t="shared" si="24"/>
        <v>1041</v>
      </c>
      <c r="AK267" s="18">
        <f>(Table1[[#This Row],[Food Category]]/$AJ$375)</f>
        <v>0</v>
      </c>
    </row>
    <row r="268" spans="1:37" hidden="1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  <c r="AE268">
        <f t="shared" si="20"/>
        <v>1662.1</v>
      </c>
      <c r="AF268">
        <f t="shared" si="21"/>
        <v>304.70000000000005</v>
      </c>
      <c r="AG268">
        <f t="shared" si="22"/>
        <v>306</v>
      </c>
      <c r="AH268">
        <f t="shared" si="23"/>
        <v>283.3</v>
      </c>
      <c r="AI268">
        <f t="shared" si="24"/>
        <v>1060.3</v>
      </c>
      <c r="AK268" s="18">
        <f>(Table1[[#This Row],[Food Category]]/$AJ$375)</f>
        <v>0</v>
      </c>
    </row>
    <row r="269" spans="1:37" hidden="1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>
        <f t="shared" si="20"/>
        <v>1648.2999999999997</v>
      </c>
      <c r="AF269">
        <f t="shared" si="21"/>
        <v>302.70000000000005</v>
      </c>
      <c r="AG269">
        <f t="shared" si="22"/>
        <v>309.39999999999998</v>
      </c>
      <c r="AH269">
        <f t="shared" si="23"/>
        <v>294.60000000000002</v>
      </c>
      <c r="AI269">
        <f t="shared" si="24"/>
        <v>924.8</v>
      </c>
      <c r="AK269" s="18">
        <f>(Table1[[#This Row],[Food Category]]/$AJ$375)</f>
        <v>0</v>
      </c>
    </row>
    <row r="270" spans="1:37" hidden="1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>
        <f t="shared" si="20"/>
        <v>1687</v>
      </c>
      <c r="AF270">
        <f t="shared" si="21"/>
        <v>308</v>
      </c>
      <c r="AG270">
        <f t="shared" si="22"/>
        <v>300.29999999999995</v>
      </c>
      <c r="AH270">
        <f t="shared" si="23"/>
        <v>273.8</v>
      </c>
      <c r="AI270">
        <f t="shared" si="24"/>
        <v>1041</v>
      </c>
      <c r="AK270" s="18">
        <f>(Table1[[#This Row],[Food Category]]/$AJ$375)</f>
        <v>0</v>
      </c>
    </row>
    <row r="271" spans="1:37" hidden="1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>
        <f t="shared" si="20"/>
        <v>1662.1</v>
      </c>
      <c r="AF271">
        <f t="shared" si="21"/>
        <v>304.70000000000005</v>
      </c>
      <c r="AG271">
        <f t="shared" si="22"/>
        <v>306</v>
      </c>
      <c r="AH271">
        <f t="shared" si="23"/>
        <v>283.3</v>
      </c>
      <c r="AI271">
        <f t="shared" si="24"/>
        <v>1060.3</v>
      </c>
      <c r="AK271" s="18">
        <f>(Table1[[#This Row],[Food Category]]/$AJ$375)</f>
        <v>0</v>
      </c>
    </row>
    <row r="272" spans="1:37" hidden="1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  <c r="AE272">
        <f t="shared" si="20"/>
        <v>1676.8999999999999</v>
      </c>
      <c r="AF272">
        <f t="shared" si="21"/>
        <v>301.70000000000005</v>
      </c>
      <c r="AG272">
        <f t="shared" si="22"/>
        <v>312.39999999999998</v>
      </c>
      <c r="AH272">
        <f t="shared" si="23"/>
        <v>295.79999999999995</v>
      </c>
      <c r="AI272">
        <f t="shared" si="24"/>
        <v>929.90000000000009</v>
      </c>
      <c r="AK272" s="18">
        <f>(Table1[[#This Row],[Food Category]]/$AJ$375)</f>
        <v>0</v>
      </c>
    </row>
    <row r="273" spans="1:37" hidden="1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  <c r="AE273">
        <f t="shared" si="20"/>
        <v>1717</v>
      </c>
      <c r="AF273">
        <f t="shared" si="21"/>
        <v>307.89999999999998</v>
      </c>
      <c r="AG273">
        <f t="shared" si="22"/>
        <v>303.89999999999998</v>
      </c>
      <c r="AH273">
        <f t="shared" si="23"/>
        <v>275.10000000000002</v>
      </c>
      <c r="AI273">
        <f t="shared" si="24"/>
        <v>1057.1000000000001</v>
      </c>
      <c r="AK273" s="18">
        <f>(Table1[[#This Row],[Food Category]]/$AJ$375)</f>
        <v>0</v>
      </c>
    </row>
    <row r="274" spans="1:37" hidden="1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  <c r="AE274">
        <f t="shared" si="20"/>
        <v>1691.1</v>
      </c>
      <c r="AF274">
        <f t="shared" si="21"/>
        <v>304.10000000000002</v>
      </c>
      <c r="AG274">
        <f t="shared" si="22"/>
        <v>309.3</v>
      </c>
      <c r="AH274">
        <f t="shared" si="23"/>
        <v>284.5</v>
      </c>
      <c r="AI274">
        <f t="shared" si="24"/>
        <v>1070.9000000000001</v>
      </c>
      <c r="AK274" s="18">
        <f>(Table1[[#This Row],[Food Category]]/$AJ$375)</f>
        <v>0</v>
      </c>
    </row>
    <row r="275" spans="1:37" hidden="1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  <c r="AE275">
        <f t="shared" si="20"/>
        <v>1684.4999999999998</v>
      </c>
      <c r="AF275">
        <f t="shared" si="21"/>
        <v>302.89999999999998</v>
      </c>
      <c r="AG275">
        <f t="shared" si="22"/>
        <v>316.5</v>
      </c>
      <c r="AH275">
        <f t="shared" si="23"/>
        <v>297.39999999999998</v>
      </c>
      <c r="AI275">
        <f t="shared" si="24"/>
        <v>934.6</v>
      </c>
      <c r="AK275" s="18">
        <f>(Table1[[#This Row],[Food Category]]/$AJ$375)</f>
        <v>0</v>
      </c>
    </row>
    <row r="276" spans="1:37" hidden="1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  <c r="AE276">
        <f t="shared" si="20"/>
        <v>1730.4000000000003</v>
      </c>
      <c r="AF276">
        <f t="shared" si="21"/>
        <v>311.20000000000005</v>
      </c>
      <c r="AG276">
        <f t="shared" si="22"/>
        <v>309.8</v>
      </c>
      <c r="AH276">
        <f t="shared" si="23"/>
        <v>276.89999999999998</v>
      </c>
      <c r="AI276">
        <f t="shared" si="24"/>
        <v>1062.7</v>
      </c>
      <c r="AK276" s="18">
        <f>(Table1[[#This Row],[Food Category]]/$AJ$375)</f>
        <v>0</v>
      </c>
    </row>
    <row r="277" spans="1:37" hidden="1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  <c r="AE277">
        <f t="shared" si="20"/>
        <v>1700.9</v>
      </c>
      <c r="AF277">
        <f t="shared" si="21"/>
        <v>306.10000000000002</v>
      </c>
      <c r="AG277">
        <f t="shared" si="22"/>
        <v>314</v>
      </c>
      <c r="AH277">
        <f t="shared" si="23"/>
        <v>286.2</v>
      </c>
      <c r="AI277">
        <f t="shared" si="24"/>
        <v>1076.5999999999999</v>
      </c>
      <c r="AK277" s="18">
        <f>(Table1[[#This Row],[Food Category]]/$AJ$375)</f>
        <v>0</v>
      </c>
    </row>
    <row r="278" spans="1:37" hidden="1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  <c r="AE278">
        <f t="shared" si="20"/>
        <v>1718.1000000000001</v>
      </c>
      <c r="AF278">
        <f t="shared" si="21"/>
        <v>312.79999999999995</v>
      </c>
      <c r="AG278">
        <f t="shared" si="22"/>
        <v>315.7</v>
      </c>
      <c r="AH278">
        <f t="shared" si="23"/>
        <v>298.8</v>
      </c>
      <c r="AI278">
        <f t="shared" si="24"/>
        <v>939.7</v>
      </c>
      <c r="AK278" s="18">
        <f>(Table1[[#This Row],[Food Category]]/$AJ$375)</f>
        <v>0</v>
      </c>
    </row>
    <row r="279" spans="1:37" hidden="1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  <c r="AE279">
        <f t="shared" si="20"/>
        <v>1761.6999999999998</v>
      </c>
      <c r="AF279">
        <f t="shared" si="21"/>
        <v>318.5</v>
      </c>
      <c r="AG279">
        <f t="shared" si="22"/>
        <v>309.10000000000002</v>
      </c>
      <c r="AH279">
        <f t="shared" si="23"/>
        <v>277.39999999999998</v>
      </c>
      <c r="AI279">
        <f t="shared" si="24"/>
        <v>1064.2</v>
      </c>
      <c r="AK279" s="18">
        <f>(Table1[[#This Row],[Food Category]]/$AJ$375)</f>
        <v>0</v>
      </c>
    </row>
    <row r="280" spans="1:37" hidden="1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  <c r="AE280">
        <f t="shared" si="20"/>
        <v>1733.6000000000001</v>
      </c>
      <c r="AF280">
        <f t="shared" si="21"/>
        <v>315</v>
      </c>
      <c r="AG280">
        <f t="shared" si="22"/>
        <v>313.3</v>
      </c>
      <c r="AH280">
        <f t="shared" si="23"/>
        <v>287.10000000000002</v>
      </c>
      <c r="AI280">
        <f t="shared" si="24"/>
        <v>1080</v>
      </c>
      <c r="AK280" s="18">
        <f>(Table1[[#This Row],[Food Category]]/$AJ$375)</f>
        <v>0</v>
      </c>
    </row>
    <row r="281" spans="1:37" hidden="1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  <c r="AE281">
        <f t="shared" si="20"/>
        <v>1757</v>
      </c>
      <c r="AF281">
        <f t="shared" si="21"/>
        <v>325.39999999999998</v>
      </c>
      <c r="AG281">
        <f t="shared" si="22"/>
        <v>316.60000000000002</v>
      </c>
      <c r="AH281">
        <f t="shared" si="23"/>
        <v>299.7</v>
      </c>
      <c r="AI281">
        <f t="shared" si="24"/>
        <v>944.09999999999991</v>
      </c>
      <c r="AK281" s="18">
        <f>(Table1[[#This Row],[Food Category]]/$AJ$375)</f>
        <v>0</v>
      </c>
    </row>
    <row r="282" spans="1:37" hidden="1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  <c r="AE282">
        <f t="shared" si="20"/>
        <v>1789.9</v>
      </c>
      <c r="AF282">
        <f t="shared" si="21"/>
        <v>330.8</v>
      </c>
      <c r="AG282">
        <f t="shared" si="22"/>
        <v>309.89999999999998</v>
      </c>
      <c r="AH282">
        <f t="shared" si="23"/>
        <v>279.60000000000002</v>
      </c>
      <c r="AI282">
        <f t="shared" si="24"/>
        <v>1067.7</v>
      </c>
      <c r="AK282" s="18">
        <f>(Table1[[#This Row],[Food Category]]/$AJ$375)</f>
        <v>0</v>
      </c>
    </row>
    <row r="283" spans="1:37" hidden="1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  <c r="AE283">
        <f t="shared" si="20"/>
        <v>1768.2</v>
      </c>
      <c r="AF283">
        <f t="shared" si="21"/>
        <v>327.39999999999998</v>
      </c>
      <c r="AG283">
        <f t="shared" si="22"/>
        <v>314.10000000000002</v>
      </c>
      <c r="AH283">
        <f t="shared" si="23"/>
        <v>288.8</v>
      </c>
      <c r="AI283">
        <f t="shared" si="24"/>
        <v>1085.0999999999999</v>
      </c>
      <c r="AK283" s="18">
        <f>(Table1[[#This Row],[Food Category]]/$AJ$375)</f>
        <v>0</v>
      </c>
    </row>
    <row r="284" spans="1:37" hidden="1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  <c r="AE284">
        <f t="shared" si="20"/>
        <v>1773.1000000000001</v>
      </c>
      <c r="AF284">
        <f t="shared" si="21"/>
        <v>327.39999999999998</v>
      </c>
      <c r="AG284">
        <f t="shared" si="22"/>
        <v>318.2</v>
      </c>
      <c r="AH284">
        <f t="shared" si="23"/>
        <v>300.3</v>
      </c>
      <c r="AI284">
        <f t="shared" si="24"/>
        <v>948</v>
      </c>
      <c r="AK284" s="18">
        <f>(Table1[[#This Row],[Food Category]]/$AJ$375)</f>
        <v>0</v>
      </c>
    </row>
    <row r="285" spans="1:37" hidden="1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  <c r="AE285">
        <f t="shared" si="20"/>
        <v>1792.8999999999999</v>
      </c>
      <c r="AF285">
        <f t="shared" si="21"/>
        <v>332.5</v>
      </c>
      <c r="AG285">
        <f t="shared" si="22"/>
        <v>310.8</v>
      </c>
      <c r="AH285">
        <f t="shared" si="23"/>
        <v>279.8</v>
      </c>
      <c r="AI285">
        <f t="shared" si="24"/>
        <v>1071.3</v>
      </c>
      <c r="AK285" s="18">
        <f>(Table1[[#This Row],[Food Category]]/$AJ$375)</f>
        <v>0</v>
      </c>
    </row>
    <row r="286" spans="1:37" hidden="1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  <c r="AE286">
        <f t="shared" si="20"/>
        <v>1779.7</v>
      </c>
      <c r="AF286">
        <f t="shared" si="21"/>
        <v>329.4</v>
      </c>
      <c r="AG286">
        <f t="shared" si="22"/>
        <v>315.39999999999998</v>
      </c>
      <c r="AH286">
        <f t="shared" si="23"/>
        <v>289.2</v>
      </c>
      <c r="AI286">
        <f t="shared" si="24"/>
        <v>1088.9000000000001</v>
      </c>
      <c r="AK286" s="18">
        <f>(Table1[[#This Row],[Food Category]]/$AJ$375)</f>
        <v>0</v>
      </c>
    </row>
    <row r="287" spans="1:37" hidden="1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  <c r="AE287">
        <f t="shared" si="20"/>
        <v>1738.2999999999997</v>
      </c>
      <c r="AF287">
        <f t="shared" si="21"/>
        <v>327.39999999999998</v>
      </c>
      <c r="AG287">
        <f t="shared" si="22"/>
        <v>318.7</v>
      </c>
      <c r="AH287">
        <f t="shared" si="23"/>
        <v>302.60000000000002</v>
      </c>
      <c r="AI287">
        <f t="shared" si="24"/>
        <v>951.3</v>
      </c>
      <c r="AK287" s="18">
        <f>(Table1[[#This Row],[Food Category]]/$AJ$375)</f>
        <v>0</v>
      </c>
    </row>
    <row r="288" spans="1:37" hidden="1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  <c r="AE288">
        <f t="shared" si="20"/>
        <v>1764.2000000000003</v>
      </c>
      <c r="AF288">
        <f t="shared" si="21"/>
        <v>332.8</v>
      </c>
      <c r="AG288">
        <f t="shared" si="22"/>
        <v>311.79999999999995</v>
      </c>
      <c r="AH288">
        <f t="shared" si="23"/>
        <v>282.3</v>
      </c>
      <c r="AI288">
        <f t="shared" si="24"/>
        <v>1078.5999999999999</v>
      </c>
      <c r="AK288" s="18">
        <f>(Table1[[#This Row],[Food Category]]/$AJ$375)</f>
        <v>0</v>
      </c>
    </row>
    <row r="289" spans="1:37" hidden="1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  <c r="AE289">
        <f t="shared" si="20"/>
        <v>1747.1</v>
      </c>
      <c r="AF289">
        <f t="shared" si="21"/>
        <v>329.4</v>
      </c>
      <c r="AG289">
        <f t="shared" si="22"/>
        <v>316.10000000000002</v>
      </c>
      <c r="AH289">
        <f t="shared" si="23"/>
        <v>291.5</v>
      </c>
      <c r="AI289">
        <f t="shared" si="24"/>
        <v>1093.2</v>
      </c>
      <c r="AK289" s="18">
        <f>(Table1[[#This Row],[Food Category]]/$AJ$375)</f>
        <v>0</v>
      </c>
    </row>
    <row r="290" spans="1:37" hidden="1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  <c r="AE290">
        <f t="shared" si="20"/>
        <v>1702.8999999999999</v>
      </c>
      <c r="AF290">
        <f t="shared" si="21"/>
        <v>322.39999999999998</v>
      </c>
      <c r="AG290">
        <f t="shared" si="22"/>
        <v>319.5</v>
      </c>
      <c r="AH290">
        <f t="shared" si="23"/>
        <v>307.2</v>
      </c>
      <c r="AI290">
        <f t="shared" si="24"/>
        <v>959.8</v>
      </c>
      <c r="AK290" s="18">
        <f>(Table1[[#This Row],[Food Category]]/$AJ$375)</f>
        <v>0</v>
      </c>
    </row>
    <row r="291" spans="1:37" hidden="1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  <c r="AE291">
        <f t="shared" si="20"/>
        <v>1741</v>
      </c>
      <c r="AF291">
        <f t="shared" si="21"/>
        <v>325</v>
      </c>
      <c r="AG291">
        <f t="shared" si="22"/>
        <v>313</v>
      </c>
      <c r="AH291">
        <f t="shared" si="23"/>
        <v>287.8</v>
      </c>
      <c r="AI291">
        <f t="shared" si="24"/>
        <v>1095</v>
      </c>
      <c r="AK291" s="18">
        <f>(Table1[[#This Row],[Food Category]]/$AJ$375)</f>
        <v>0</v>
      </c>
    </row>
    <row r="292" spans="1:37" hidden="1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  <c r="AE292">
        <f t="shared" si="20"/>
        <v>1715.9</v>
      </c>
      <c r="AF292">
        <f t="shared" si="21"/>
        <v>323.39999999999998</v>
      </c>
      <c r="AG292">
        <f t="shared" si="22"/>
        <v>317.10000000000002</v>
      </c>
      <c r="AH292">
        <f t="shared" si="23"/>
        <v>296.60000000000002</v>
      </c>
      <c r="AI292">
        <f t="shared" si="24"/>
        <v>1106.5</v>
      </c>
      <c r="AK292" s="18">
        <f>(Table1[[#This Row],[Food Category]]/$AJ$375)</f>
        <v>0</v>
      </c>
    </row>
    <row r="293" spans="1:37" hidden="1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  <c r="AE293">
        <f t="shared" si="20"/>
        <v>1708</v>
      </c>
      <c r="AF293">
        <f t="shared" si="21"/>
        <v>317.7</v>
      </c>
      <c r="AG293">
        <f t="shared" si="22"/>
        <v>317.7</v>
      </c>
      <c r="AH293">
        <f t="shared" si="23"/>
        <v>309.10000000000002</v>
      </c>
      <c r="AI293">
        <f t="shared" si="24"/>
        <v>962.2</v>
      </c>
      <c r="AK293" s="18">
        <f>(Table1[[#This Row],[Food Category]]/$AJ$375)</f>
        <v>0</v>
      </c>
    </row>
    <row r="294" spans="1:37" hidden="1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  <c r="AE294">
        <f t="shared" si="20"/>
        <v>1744.2</v>
      </c>
      <c r="AF294">
        <f t="shared" si="21"/>
        <v>320.29999999999995</v>
      </c>
      <c r="AG294">
        <f t="shared" si="22"/>
        <v>311.8</v>
      </c>
      <c r="AH294">
        <f t="shared" si="23"/>
        <v>290.29999999999995</v>
      </c>
      <c r="AI294">
        <f t="shared" si="24"/>
        <v>1104</v>
      </c>
      <c r="AK294" s="18">
        <f>(Table1[[#This Row],[Food Category]]/$AJ$375)</f>
        <v>0</v>
      </c>
    </row>
    <row r="295" spans="1:37" hidden="1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  <c r="AE295">
        <f t="shared" si="20"/>
        <v>1720.6999999999998</v>
      </c>
      <c r="AF295">
        <f t="shared" si="21"/>
        <v>318.70000000000005</v>
      </c>
      <c r="AG295">
        <f t="shared" si="22"/>
        <v>315.5</v>
      </c>
      <c r="AH295">
        <f t="shared" si="23"/>
        <v>298.79999999999995</v>
      </c>
      <c r="AI295">
        <f t="shared" si="24"/>
        <v>1111.5</v>
      </c>
      <c r="AK295" s="18">
        <f>(Table1[[#This Row],[Food Category]]/$AJ$375)</f>
        <v>0</v>
      </c>
    </row>
    <row r="296" spans="1:37" hidden="1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  <c r="AE296">
        <f t="shared" si="20"/>
        <v>1731.1000000000001</v>
      </c>
      <c r="AF296">
        <f t="shared" si="21"/>
        <v>318.39999999999998</v>
      </c>
      <c r="AG296">
        <f t="shared" si="22"/>
        <v>319.89999999999998</v>
      </c>
      <c r="AH296">
        <f t="shared" si="23"/>
        <v>310.29999999999995</v>
      </c>
      <c r="AI296">
        <f t="shared" si="24"/>
        <v>965.6</v>
      </c>
      <c r="AK296" s="18">
        <f>(Table1[[#This Row],[Food Category]]/$AJ$375)</f>
        <v>0</v>
      </c>
    </row>
    <row r="297" spans="1:37" hidden="1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  <c r="AE297">
        <f t="shared" si="20"/>
        <v>1767.2</v>
      </c>
      <c r="AF297">
        <f t="shared" si="21"/>
        <v>322.39999999999998</v>
      </c>
      <c r="AG297">
        <f t="shared" si="22"/>
        <v>314.10000000000002</v>
      </c>
      <c r="AH297">
        <f t="shared" si="23"/>
        <v>291.2</v>
      </c>
      <c r="AI297">
        <f t="shared" si="24"/>
        <v>1108.9000000000001</v>
      </c>
      <c r="AK297" s="18">
        <f>(Table1[[#This Row],[Food Category]]/$AJ$375)</f>
        <v>0</v>
      </c>
    </row>
    <row r="298" spans="1:37" hidden="1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  <c r="AE298">
        <f t="shared" si="20"/>
        <v>1744.1</v>
      </c>
      <c r="AF298">
        <f t="shared" si="21"/>
        <v>320</v>
      </c>
      <c r="AG298">
        <f t="shared" si="22"/>
        <v>317.70000000000005</v>
      </c>
      <c r="AH298">
        <f t="shared" si="23"/>
        <v>299.79999999999995</v>
      </c>
      <c r="AI298">
        <f t="shared" si="24"/>
        <v>1116.4000000000001</v>
      </c>
      <c r="AK298" s="18">
        <f>(Table1[[#This Row],[Food Category]]/$AJ$375)</f>
        <v>0</v>
      </c>
    </row>
    <row r="299" spans="1:37" hidden="1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  <c r="AE299">
        <f t="shared" si="20"/>
        <v>1770.8999999999999</v>
      </c>
      <c r="AF299">
        <f t="shared" si="21"/>
        <v>324.39999999999998</v>
      </c>
      <c r="AG299">
        <f t="shared" si="22"/>
        <v>328.4</v>
      </c>
      <c r="AH299">
        <f t="shared" si="23"/>
        <v>313.2</v>
      </c>
      <c r="AI299">
        <f t="shared" si="24"/>
        <v>985.5</v>
      </c>
      <c r="AK299" s="18">
        <f>(Table1[[#This Row],[Food Category]]/$AJ$375)</f>
        <v>0</v>
      </c>
    </row>
    <row r="300" spans="1:37" hidden="1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  <c r="AE300">
        <f t="shared" si="20"/>
        <v>1795.2000000000003</v>
      </c>
      <c r="AF300">
        <f t="shared" si="21"/>
        <v>329.5</v>
      </c>
      <c r="AG300">
        <f t="shared" si="22"/>
        <v>317.89999999999998</v>
      </c>
      <c r="AH300">
        <f t="shared" si="23"/>
        <v>297.60000000000002</v>
      </c>
      <c r="AI300">
        <f t="shared" si="24"/>
        <v>1122.2</v>
      </c>
      <c r="AK300" s="18">
        <f>(Table1[[#This Row],[Food Category]]/$AJ$375)</f>
        <v>0</v>
      </c>
    </row>
    <row r="301" spans="1:37" hidden="1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  <c r="AE301">
        <f t="shared" si="20"/>
        <v>1779.3000000000002</v>
      </c>
      <c r="AF301">
        <f t="shared" si="21"/>
        <v>326.39999999999998</v>
      </c>
      <c r="AG301">
        <f t="shared" si="22"/>
        <v>324.39999999999998</v>
      </c>
      <c r="AH301">
        <f t="shared" si="23"/>
        <v>304.70000000000005</v>
      </c>
      <c r="AI301">
        <f t="shared" si="24"/>
        <v>1133.7</v>
      </c>
      <c r="AK301" s="18">
        <f>(Table1[[#This Row],[Food Category]]/$AJ$375)</f>
        <v>0</v>
      </c>
    </row>
    <row r="302" spans="1:37" hidden="1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  <c r="AE302">
        <f t="shared" si="20"/>
        <v>1787.2</v>
      </c>
      <c r="AF302">
        <f t="shared" si="21"/>
        <v>335.4</v>
      </c>
      <c r="AG302">
        <f t="shared" si="22"/>
        <v>329.1</v>
      </c>
      <c r="AH302">
        <f t="shared" si="23"/>
        <v>314.60000000000002</v>
      </c>
      <c r="AI302">
        <f t="shared" si="24"/>
        <v>988.19999999999993</v>
      </c>
      <c r="AK302" s="18">
        <f>(Table1[[#This Row],[Food Category]]/$AJ$375)</f>
        <v>0</v>
      </c>
    </row>
    <row r="303" spans="1:37" hidden="1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  <c r="AE303">
        <f t="shared" si="20"/>
        <v>1814.8999999999999</v>
      </c>
      <c r="AF303">
        <f t="shared" si="21"/>
        <v>339.3</v>
      </c>
      <c r="AG303">
        <f t="shared" si="22"/>
        <v>318.8</v>
      </c>
      <c r="AH303">
        <f t="shared" si="23"/>
        <v>298.2</v>
      </c>
      <c r="AI303">
        <f t="shared" si="24"/>
        <v>1123.3</v>
      </c>
      <c r="AK303" s="18">
        <f>(Table1[[#This Row],[Food Category]]/$AJ$375)</f>
        <v>0</v>
      </c>
    </row>
    <row r="304" spans="1:37" hidden="1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  <c r="AE304">
        <f t="shared" si="20"/>
        <v>1797</v>
      </c>
      <c r="AF304">
        <f t="shared" si="21"/>
        <v>336.9</v>
      </c>
      <c r="AG304">
        <f t="shared" si="22"/>
        <v>325.10000000000002</v>
      </c>
      <c r="AH304">
        <f t="shared" si="23"/>
        <v>305.60000000000002</v>
      </c>
      <c r="AI304">
        <f t="shared" si="24"/>
        <v>1135.5000000000002</v>
      </c>
      <c r="AK304" s="18">
        <f>(Table1[[#This Row],[Food Category]]/$AJ$375)</f>
        <v>0</v>
      </c>
    </row>
    <row r="305" spans="1:37" hidden="1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  <c r="AE305">
        <f t="shared" si="20"/>
        <v>1794.9</v>
      </c>
      <c r="AF305">
        <f t="shared" si="21"/>
        <v>337.5</v>
      </c>
      <c r="AG305">
        <f t="shared" si="22"/>
        <v>330.8</v>
      </c>
      <c r="AH305">
        <f t="shared" si="23"/>
        <v>317.79999999999995</v>
      </c>
      <c r="AI305">
        <f t="shared" si="24"/>
        <v>995.60000000000014</v>
      </c>
      <c r="AK305" s="18">
        <f>(Table1[[#This Row],[Food Category]]/$AJ$375)</f>
        <v>0</v>
      </c>
    </row>
    <row r="306" spans="1:37" hidden="1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  <c r="AE306">
        <f t="shared" si="20"/>
        <v>1828.6000000000001</v>
      </c>
      <c r="AF306">
        <f t="shared" si="21"/>
        <v>343.2</v>
      </c>
      <c r="AG306">
        <f t="shared" si="22"/>
        <v>321.10000000000002</v>
      </c>
      <c r="AH306">
        <f t="shared" si="23"/>
        <v>300.7</v>
      </c>
      <c r="AI306">
        <f t="shared" si="24"/>
        <v>1131.7</v>
      </c>
      <c r="AK306" s="18">
        <f>(Table1[[#This Row],[Food Category]]/$AJ$375)</f>
        <v>0</v>
      </c>
    </row>
    <row r="307" spans="1:37" hidden="1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  <c r="AE307">
        <f t="shared" si="20"/>
        <v>1807.3000000000002</v>
      </c>
      <c r="AF307">
        <f t="shared" si="21"/>
        <v>339.7</v>
      </c>
      <c r="AG307">
        <f t="shared" si="22"/>
        <v>327.10000000000002</v>
      </c>
      <c r="AH307">
        <f t="shared" si="23"/>
        <v>308.39999999999998</v>
      </c>
      <c r="AI307">
        <f t="shared" si="24"/>
        <v>1143.8000000000002</v>
      </c>
      <c r="AK307" s="18">
        <f>(Table1[[#This Row],[Food Category]]/$AJ$375)</f>
        <v>0</v>
      </c>
    </row>
    <row r="308" spans="1:37" hidden="1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  <c r="AE308">
        <f t="shared" si="20"/>
        <v>1796.8</v>
      </c>
      <c r="AF308">
        <f t="shared" si="21"/>
        <v>334</v>
      </c>
      <c r="AG308">
        <f t="shared" si="22"/>
        <v>331.4</v>
      </c>
      <c r="AH308">
        <f t="shared" si="23"/>
        <v>318.79999999999995</v>
      </c>
      <c r="AI308">
        <f t="shared" si="24"/>
        <v>998.79999999999984</v>
      </c>
      <c r="AK308" s="18">
        <f>(Table1[[#This Row],[Food Category]]/$AJ$375)</f>
        <v>0</v>
      </c>
    </row>
    <row r="309" spans="1:37" hidden="1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  <c r="AE309">
        <f t="shared" si="20"/>
        <v>1824.6</v>
      </c>
      <c r="AF309">
        <f t="shared" si="21"/>
        <v>333.29999999999995</v>
      </c>
      <c r="AG309">
        <f t="shared" si="22"/>
        <v>322.39999999999998</v>
      </c>
      <c r="AH309">
        <f t="shared" si="23"/>
        <v>304.10000000000002</v>
      </c>
      <c r="AI309">
        <f t="shared" si="24"/>
        <v>1141.2</v>
      </c>
      <c r="AK309" s="18">
        <f>(Table1[[#This Row],[Food Category]]/$AJ$375)</f>
        <v>0</v>
      </c>
    </row>
    <row r="310" spans="1:37" hidden="1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  <c r="AE310">
        <f t="shared" si="20"/>
        <v>1810.8000000000002</v>
      </c>
      <c r="AF310">
        <f t="shared" si="21"/>
        <v>331.20000000000005</v>
      </c>
      <c r="AG310">
        <f t="shared" si="22"/>
        <v>328.4</v>
      </c>
      <c r="AH310">
        <f t="shared" si="23"/>
        <v>311.60000000000002</v>
      </c>
      <c r="AI310">
        <f t="shared" si="24"/>
        <v>1151.5</v>
      </c>
      <c r="AK310" s="18">
        <f>(Table1[[#This Row],[Food Category]]/$AJ$375)</f>
        <v>0</v>
      </c>
    </row>
    <row r="311" spans="1:37" hidden="1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  <c r="AE311">
        <f t="shared" si="20"/>
        <v>1803.5999999999997</v>
      </c>
      <c r="AF311">
        <f t="shared" si="21"/>
        <v>330</v>
      </c>
      <c r="AG311">
        <f t="shared" si="22"/>
        <v>332.1</v>
      </c>
      <c r="AH311">
        <f t="shared" si="23"/>
        <v>320.5</v>
      </c>
      <c r="AI311">
        <f t="shared" si="24"/>
        <v>1001.0999999999999</v>
      </c>
      <c r="AK311" s="18">
        <f>(Table1[[#This Row],[Food Category]]/$AJ$375)</f>
        <v>0</v>
      </c>
    </row>
    <row r="312" spans="1:37" hidden="1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  <c r="AE312">
        <f t="shared" si="20"/>
        <v>1824.7</v>
      </c>
      <c r="AF312">
        <f t="shared" si="21"/>
        <v>333.2</v>
      </c>
      <c r="AG312">
        <f t="shared" si="22"/>
        <v>322.39999999999998</v>
      </c>
      <c r="AH312">
        <f t="shared" si="23"/>
        <v>304.39999999999998</v>
      </c>
      <c r="AI312">
        <f t="shared" si="24"/>
        <v>1141.5</v>
      </c>
      <c r="AK312" s="18">
        <f>(Table1[[#This Row],[Food Category]]/$AJ$375)</f>
        <v>0</v>
      </c>
    </row>
    <row r="313" spans="1:37" hidden="1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  <c r="AE313">
        <f t="shared" si="20"/>
        <v>1810.8</v>
      </c>
      <c r="AF313">
        <f t="shared" si="21"/>
        <v>331.20000000000005</v>
      </c>
      <c r="AG313">
        <f t="shared" si="22"/>
        <v>328.4</v>
      </c>
      <c r="AH313">
        <f t="shared" si="23"/>
        <v>311.7</v>
      </c>
      <c r="AI313">
        <f t="shared" si="24"/>
        <v>1151.5</v>
      </c>
      <c r="AK313" s="18">
        <f>(Table1[[#This Row],[Food Category]]/$AJ$375)</f>
        <v>0</v>
      </c>
    </row>
    <row r="314" spans="1:37" hidden="1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  <c r="AE314">
        <f t="shared" si="20"/>
        <v>1835.6999999999998</v>
      </c>
      <c r="AF314">
        <f t="shared" si="21"/>
        <v>328.5</v>
      </c>
      <c r="AG314">
        <f t="shared" si="22"/>
        <v>333.6</v>
      </c>
      <c r="AH314">
        <f t="shared" si="23"/>
        <v>322.7</v>
      </c>
      <c r="AI314">
        <f t="shared" si="24"/>
        <v>1009.2</v>
      </c>
      <c r="AK314" s="18">
        <f>(Table1[[#This Row],[Food Category]]/$AJ$375)</f>
        <v>0</v>
      </c>
    </row>
    <row r="315" spans="1:37" hidden="1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  <c r="AE315">
        <f t="shared" si="20"/>
        <v>1866.2000000000003</v>
      </c>
      <c r="AF315">
        <f t="shared" si="21"/>
        <v>332.2</v>
      </c>
      <c r="AG315">
        <f t="shared" si="22"/>
        <v>323.8</v>
      </c>
      <c r="AH315">
        <f t="shared" si="23"/>
        <v>307.29999999999995</v>
      </c>
      <c r="AI315">
        <f t="shared" si="24"/>
        <v>1150.8999999999999</v>
      </c>
      <c r="AK315" s="18">
        <f>(Table1[[#This Row],[Food Category]]/$AJ$375)</f>
        <v>0</v>
      </c>
    </row>
    <row r="316" spans="1:37" hidden="1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  <c r="AE316">
        <f t="shared" si="20"/>
        <v>1845.6000000000001</v>
      </c>
      <c r="AF316">
        <f t="shared" si="21"/>
        <v>329.9</v>
      </c>
      <c r="AG316">
        <f t="shared" si="22"/>
        <v>329.9</v>
      </c>
      <c r="AH316">
        <f t="shared" si="23"/>
        <v>314.29999999999995</v>
      </c>
      <c r="AI316">
        <f t="shared" si="24"/>
        <v>1161.0999999999999</v>
      </c>
      <c r="AK316" s="18">
        <f>(Table1[[#This Row],[Food Category]]/$AJ$375)</f>
        <v>0</v>
      </c>
    </row>
    <row r="317" spans="1:37" hidden="1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  <c r="AE317">
        <f t="shared" si="20"/>
        <v>1851.3999999999996</v>
      </c>
      <c r="AF317">
        <f t="shared" si="21"/>
        <v>330.6</v>
      </c>
      <c r="AG317">
        <f t="shared" si="22"/>
        <v>335.8</v>
      </c>
      <c r="AH317">
        <f t="shared" si="23"/>
        <v>322.70000000000005</v>
      </c>
      <c r="AI317">
        <f t="shared" si="24"/>
        <v>1011.3000000000001</v>
      </c>
      <c r="AK317" s="18">
        <f>(Table1[[#This Row],[Food Category]]/$AJ$375)</f>
        <v>0</v>
      </c>
    </row>
    <row r="318" spans="1:37" hidden="1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  <c r="AE318">
        <f t="shared" si="20"/>
        <v>1882.8999999999999</v>
      </c>
      <c r="AF318">
        <f t="shared" si="21"/>
        <v>335</v>
      </c>
      <c r="AG318">
        <f t="shared" si="22"/>
        <v>326</v>
      </c>
      <c r="AH318">
        <f t="shared" si="23"/>
        <v>307.89999999999998</v>
      </c>
      <c r="AI318">
        <f t="shared" si="24"/>
        <v>1152.0999999999999</v>
      </c>
      <c r="AK318" s="18">
        <f>(Table1[[#This Row],[Food Category]]/$AJ$375)</f>
        <v>0</v>
      </c>
    </row>
    <row r="319" spans="1:37" hidden="1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  <c r="AE319">
        <f t="shared" si="20"/>
        <v>1861.8</v>
      </c>
      <c r="AF319">
        <f t="shared" si="21"/>
        <v>332.3</v>
      </c>
      <c r="AG319">
        <f t="shared" si="22"/>
        <v>332.1</v>
      </c>
      <c r="AH319">
        <f t="shared" si="23"/>
        <v>314.60000000000002</v>
      </c>
      <c r="AI319">
        <f t="shared" si="24"/>
        <v>1163.1999999999998</v>
      </c>
      <c r="AK319" s="18">
        <f>(Table1[[#This Row],[Food Category]]/$AJ$375)</f>
        <v>0</v>
      </c>
    </row>
    <row r="320" spans="1:37" hidden="1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  <c r="AE320">
        <f t="shared" si="20"/>
        <v>1831.8999999999999</v>
      </c>
      <c r="AF320">
        <f t="shared" si="21"/>
        <v>336.3</v>
      </c>
      <c r="AG320">
        <f t="shared" si="22"/>
        <v>336.8</v>
      </c>
      <c r="AH320">
        <f t="shared" si="23"/>
        <v>324.60000000000002</v>
      </c>
      <c r="AI320">
        <f t="shared" si="24"/>
        <v>1013.4</v>
      </c>
      <c r="AK320" s="18">
        <f>(Table1[[#This Row],[Food Category]]/$AJ$375)</f>
        <v>0</v>
      </c>
    </row>
    <row r="321" spans="1:37" hidden="1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  <c r="AE321">
        <f t="shared" si="20"/>
        <v>1866.3000000000002</v>
      </c>
      <c r="AF321">
        <f t="shared" si="21"/>
        <v>340</v>
      </c>
      <c r="AG321">
        <f t="shared" si="22"/>
        <v>327.5</v>
      </c>
      <c r="AH321">
        <f t="shared" si="23"/>
        <v>309.39999999999998</v>
      </c>
      <c r="AI321">
        <f t="shared" si="24"/>
        <v>1152.7</v>
      </c>
      <c r="AK321" s="18">
        <f>(Table1[[#This Row],[Food Category]]/$AJ$375)</f>
        <v>0</v>
      </c>
    </row>
    <row r="322" spans="1:37" hidden="1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  <c r="AE322">
        <f t="shared" ref="AE322:AE374" si="25">SUM(D322,E322,H322,I322,J322,K322,L322,M322,N322,O322,P322)</f>
        <v>1843.1000000000001</v>
      </c>
      <c r="AF322">
        <f t="shared" ref="AF322:AF374" si="26">SUM(F322,G322)</f>
        <v>337.8</v>
      </c>
      <c r="AG322">
        <f t="shared" ref="AG322:AG374" si="27">SUM(X322,AB322)</f>
        <v>333.2</v>
      </c>
      <c r="AH322">
        <f t="shared" ref="AH322:AH374" si="28">SUM(Z322,Y322)</f>
        <v>316.29999999999995</v>
      </c>
      <c r="AI322">
        <f t="shared" ref="AI322:AI374" si="29">SUM(Q322,U322,V322,W322,Y322,AC322,AD322)</f>
        <v>1164</v>
      </c>
      <c r="AK322" s="18">
        <f>(Table1[[#This Row],[Food Category]]/$AJ$375)</f>
        <v>0</v>
      </c>
    </row>
    <row r="323" spans="1:37" hidden="1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  <c r="AE323">
        <f t="shared" si="25"/>
        <v>1814.4999999999998</v>
      </c>
      <c r="AF323">
        <f t="shared" si="26"/>
        <v>338.5</v>
      </c>
      <c r="AG323">
        <f t="shared" si="27"/>
        <v>337.9</v>
      </c>
      <c r="AH323">
        <f t="shared" si="28"/>
        <v>325.70000000000005</v>
      </c>
      <c r="AI323">
        <f t="shared" si="29"/>
        <v>1015.2</v>
      </c>
      <c r="AK323" s="18">
        <f>(Table1[[#This Row],[Food Category]]/$AJ$375)</f>
        <v>0</v>
      </c>
    </row>
    <row r="324" spans="1:37" hidden="1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  <c r="AE324">
        <f t="shared" si="25"/>
        <v>1846.1999999999998</v>
      </c>
      <c r="AF324">
        <f t="shared" si="26"/>
        <v>340.5</v>
      </c>
      <c r="AG324">
        <f t="shared" si="27"/>
        <v>328.9</v>
      </c>
      <c r="AH324">
        <f t="shared" si="28"/>
        <v>311.10000000000002</v>
      </c>
      <c r="AI324">
        <f t="shared" si="29"/>
        <v>1155.5999999999999</v>
      </c>
      <c r="AK324" s="18">
        <f>(Table1[[#This Row],[Food Category]]/$AJ$375)</f>
        <v>0</v>
      </c>
    </row>
    <row r="325" spans="1:37" hidden="1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  <c r="AE325">
        <f t="shared" si="25"/>
        <v>1824.8999999999999</v>
      </c>
      <c r="AF325">
        <f t="shared" si="26"/>
        <v>339.3</v>
      </c>
      <c r="AG325">
        <f t="shared" si="27"/>
        <v>334.4</v>
      </c>
      <c r="AH325">
        <f t="shared" si="28"/>
        <v>317.7</v>
      </c>
      <c r="AI325">
        <f t="shared" si="29"/>
        <v>1166.9000000000001</v>
      </c>
      <c r="AK325" s="18">
        <f>(Table1[[#This Row],[Food Category]]/$AJ$375)</f>
        <v>0</v>
      </c>
    </row>
    <row r="326" spans="1:37" hidden="1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  <c r="AE326">
        <f t="shared" si="25"/>
        <v>1814.2</v>
      </c>
      <c r="AF326">
        <f t="shared" si="26"/>
        <v>336.2</v>
      </c>
      <c r="AG326">
        <f t="shared" si="27"/>
        <v>339.8</v>
      </c>
      <c r="AH326">
        <f t="shared" si="28"/>
        <v>326.7</v>
      </c>
      <c r="AI326">
        <f t="shared" si="29"/>
        <v>1019.8</v>
      </c>
      <c r="AK326" s="18">
        <f>(Table1[[#This Row],[Food Category]]/$AJ$375)</f>
        <v>0</v>
      </c>
    </row>
    <row r="327" spans="1:37" hidden="1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  <c r="AE327">
        <f t="shared" si="25"/>
        <v>1846.5</v>
      </c>
      <c r="AF327">
        <f t="shared" si="26"/>
        <v>337</v>
      </c>
      <c r="AG327">
        <f t="shared" si="27"/>
        <v>331.4</v>
      </c>
      <c r="AH327">
        <f t="shared" si="28"/>
        <v>312.60000000000002</v>
      </c>
      <c r="AI327">
        <f t="shared" si="29"/>
        <v>1160.4000000000001</v>
      </c>
      <c r="AK327" s="18">
        <f>(Table1[[#This Row],[Food Category]]/$AJ$375)</f>
        <v>0</v>
      </c>
    </row>
    <row r="328" spans="1:37" hidden="1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  <c r="AE328">
        <f t="shared" si="25"/>
        <v>1824.7000000000003</v>
      </c>
      <c r="AF328">
        <f t="shared" si="26"/>
        <v>336.5</v>
      </c>
      <c r="AG328">
        <f t="shared" si="27"/>
        <v>336.6</v>
      </c>
      <c r="AH328">
        <f t="shared" si="28"/>
        <v>319</v>
      </c>
      <c r="AI328">
        <f t="shared" si="29"/>
        <v>1172.3</v>
      </c>
      <c r="AK328" s="18">
        <f>(Table1[[#This Row],[Food Category]]/$AJ$375)</f>
        <v>0</v>
      </c>
    </row>
    <row r="329" spans="1:37" hidden="1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  <c r="AE329">
        <f t="shared" si="25"/>
        <v>1849.2</v>
      </c>
      <c r="AF329">
        <f t="shared" si="26"/>
        <v>329.9</v>
      </c>
      <c r="AG329">
        <f t="shared" si="27"/>
        <v>343.4</v>
      </c>
      <c r="AH329">
        <f t="shared" si="28"/>
        <v>328.6</v>
      </c>
      <c r="AI329">
        <f t="shared" si="29"/>
        <v>1026.7</v>
      </c>
      <c r="AK329" s="18">
        <f>(Table1[[#This Row],[Food Category]]/$AJ$375)</f>
        <v>0</v>
      </c>
    </row>
    <row r="330" spans="1:37" hidden="1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  <c r="AE330">
        <f t="shared" si="25"/>
        <v>1866</v>
      </c>
      <c r="AF330">
        <f t="shared" si="26"/>
        <v>330.29999999999995</v>
      </c>
      <c r="AG330">
        <f t="shared" si="27"/>
        <v>335</v>
      </c>
      <c r="AH330">
        <f t="shared" si="28"/>
        <v>315</v>
      </c>
      <c r="AI330">
        <f t="shared" si="29"/>
        <v>1167.1999999999998</v>
      </c>
      <c r="AK330" s="18">
        <f>(Table1[[#This Row],[Food Category]]/$AJ$375)</f>
        <v>0</v>
      </c>
    </row>
    <row r="331" spans="1:37" hidden="1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  <c r="AE331">
        <f t="shared" si="25"/>
        <v>1854.2</v>
      </c>
      <c r="AF331">
        <f t="shared" si="26"/>
        <v>330</v>
      </c>
      <c r="AG331">
        <f t="shared" si="27"/>
        <v>340.2</v>
      </c>
      <c r="AH331">
        <f t="shared" si="28"/>
        <v>321.20000000000005</v>
      </c>
      <c r="AI331">
        <f t="shared" si="29"/>
        <v>1179.2</v>
      </c>
      <c r="AK331" s="18">
        <f>(Table1[[#This Row],[Food Category]]/$AJ$375)</f>
        <v>0</v>
      </c>
    </row>
    <row r="332" spans="1:37" hidden="1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  <c r="AE332">
        <f t="shared" si="25"/>
        <v>1878.3000000000002</v>
      </c>
      <c r="AF332">
        <f t="shared" si="26"/>
        <v>328.3</v>
      </c>
      <c r="AG332">
        <f t="shared" si="27"/>
        <v>346</v>
      </c>
      <c r="AH332">
        <f t="shared" si="28"/>
        <v>333.4</v>
      </c>
      <c r="AI332">
        <f t="shared" si="29"/>
        <v>1041</v>
      </c>
      <c r="AK332" s="18">
        <f>(Table1[[#This Row],[Food Category]]/$AJ$375)</f>
        <v>0</v>
      </c>
    </row>
    <row r="333" spans="1:37" hidden="1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  <c r="AE333">
        <f t="shared" si="25"/>
        <v>1901.6</v>
      </c>
      <c r="AF333">
        <f t="shared" si="26"/>
        <v>328.79999999999995</v>
      </c>
      <c r="AG333">
        <f t="shared" si="27"/>
        <v>337.4</v>
      </c>
      <c r="AH333">
        <f t="shared" si="28"/>
        <v>321.5</v>
      </c>
      <c r="AI333">
        <f t="shared" si="29"/>
        <v>1186</v>
      </c>
      <c r="AK333" s="18">
        <f>(Table1[[#This Row],[Food Category]]/$AJ$375)</f>
        <v>0</v>
      </c>
    </row>
    <row r="334" spans="1:37" hidden="1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  <c r="AE334">
        <f t="shared" si="25"/>
        <v>1885.9</v>
      </c>
      <c r="AF334">
        <f t="shared" si="26"/>
        <v>328.4</v>
      </c>
      <c r="AG334">
        <f t="shared" si="27"/>
        <v>342.8</v>
      </c>
      <c r="AH334">
        <f t="shared" si="28"/>
        <v>327</v>
      </c>
      <c r="AI334">
        <f t="shared" si="29"/>
        <v>1196.5999999999999</v>
      </c>
      <c r="AK334" s="18">
        <f>(Table1[[#This Row],[Food Category]]/$AJ$375)</f>
        <v>0</v>
      </c>
    </row>
    <row r="335" spans="1:37" hidden="1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  <c r="AE335">
        <f t="shared" si="25"/>
        <v>1900.8000000000002</v>
      </c>
      <c r="AF335">
        <f t="shared" si="26"/>
        <v>326</v>
      </c>
      <c r="AG335">
        <f t="shared" si="27"/>
        <v>346.2</v>
      </c>
      <c r="AH335">
        <f t="shared" si="28"/>
        <v>334.7</v>
      </c>
      <c r="AI335">
        <f t="shared" si="29"/>
        <v>1047.5999999999999</v>
      </c>
      <c r="AK335" s="18">
        <f>(Table1[[#This Row],[Food Category]]/$AJ$375)</f>
        <v>0</v>
      </c>
    </row>
    <row r="336" spans="1:37" hidden="1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  <c r="AE336">
        <f t="shared" si="25"/>
        <v>1932.7</v>
      </c>
      <c r="AF336">
        <f t="shared" si="26"/>
        <v>329.5</v>
      </c>
      <c r="AG336">
        <f t="shared" si="27"/>
        <v>338.29999999999995</v>
      </c>
      <c r="AH336">
        <f t="shared" si="28"/>
        <v>322.60000000000002</v>
      </c>
      <c r="AI336">
        <f t="shared" si="29"/>
        <v>1193.5999999999999</v>
      </c>
      <c r="AK336" s="18">
        <f>(Table1[[#This Row],[Food Category]]/$AJ$375)</f>
        <v>0</v>
      </c>
    </row>
    <row r="337" spans="1:37" hidden="1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  <c r="AE337">
        <f t="shared" si="25"/>
        <v>1911.6</v>
      </c>
      <c r="AF337">
        <f t="shared" si="26"/>
        <v>327.3</v>
      </c>
      <c r="AG337">
        <f t="shared" si="27"/>
        <v>343.20000000000005</v>
      </c>
      <c r="AH337">
        <f t="shared" si="28"/>
        <v>328.1</v>
      </c>
      <c r="AI337">
        <f t="shared" si="29"/>
        <v>1203.6000000000001</v>
      </c>
      <c r="AK337" s="18">
        <f>(Table1[[#This Row],[Food Category]]/$AJ$375)</f>
        <v>0</v>
      </c>
    </row>
    <row r="338" spans="1:37" hidden="1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  <c r="AE338">
        <f t="shared" si="25"/>
        <v>1913.3000000000002</v>
      </c>
      <c r="AF338">
        <f t="shared" si="26"/>
        <v>335</v>
      </c>
      <c r="AG338">
        <f t="shared" si="27"/>
        <v>347.7</v>
      </c>
      <c r="AH338">
        <f t="shared" si="28"/>
        <v>333.5</v>
      </c>
      <c r="AI338">
        <f t="shared" si="29"/>
        <v>1050</v>
      </c>
      <c r="AK338" s="18">
        <f>(Table1[[#This Row],[Food Category]]/$AJ$375)</f>
        <v>0</v>
      </c>
    </row>
    <row r="339" spans="1:37" hidden="1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  <c r="AE339">
        <f t="shared" si="25"/>
        <v>1948.3</v>
      </c>
      <c r="AF339">
        <f t="shared" si="26"/>
        <v>339.20000000000005</v>
      </c>
      <c r="AG339">
        <f t="shared" si="27"/>
        <v>340.1</v>
      </c>
      <c r="AH339">
        <f t="shared" si="28"/>
        <v>321.29999999999995</v>
      </c>
      <c r="AI339">
        <f t="shared" si="29"/>
        <v>1194.5</v>
      </c>
      <c r="AK339" s="18">
        <f>(Table1[[#This Row],[Food Category]]/$AJ$375)</f>
        <v>0</v>
      </c>
    </row>
    <row r="340" spans="1:37" hidden="1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  <c r="AE340">
        <f t="shared" si="25"/>
        <v>1925.3000000000002</v>
      </c>
      <c r="AF340">
        <f t="shared" si="26"/>
        <v>336.6</v>
      </c>
      <c r="AG340">
        <f t="shared" si="27"/>
        <v>344.8</v>
      </c>
      <c r="AH340">
        <f t="shared" si="28"/>
        <v>326.89999999999998</v>
      </c>
      <c r="AI340">
        <f t="shared" si="29"/>
        <v>1204.6999999999998</v>
      </c>
      <c r="AK340" s="18">
        <f>(Table1[[#This Row],[Food Category]]/$AJ$375)</f>
        <v>0</v>
      </c>
    </row>
    <row r="341" spans="1:37" hidden="1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  <c r="AE341">
        <f t="shared" si="25"/>
        <v>1911.9</v>
      </c>
      <c r="AF341">
        <f t="shared" si="26"/>
        <v>340.6</v>
      </c>
      <c r="AG341">
        <f t="shared" si="27"/>
        <v>348.5</v>
      </c>
      <c r="AH341">
        <f t="shared" si="28"/>
        <v>334.9</v>
      </c>
      <c r="AI341">
        <f t="shared" si="29"/>
        <v>1056.4999999999998</v>
      </c>
      <c r="AK341" s="18">
        <f>(Table1[[#This Row],[Food Category]]/$AJ$375)</f>
        <v>0</v>
      </c>
    </row>
    <row r="342" spans="1:37" hidden="1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  <c r="AE342">
        <f t="shared" si="25"/>
        <v>1947.9</v>
      </c>
      <c r="AF342">
        <f t="shared" si="26"/>
        <v>343.7</v>
      </c>
      <c r="AG342">
        <f t="shared" si="27"/>
        <v>341.5</v>
      </c>
      <c r="AH342">
        <f t="shared" si="28"/>
        <v>322</v>
      </c>
      <c r="AI342">
        <f t="shared" si="29"/>
        <v>1203.3999999999999</v>
      </c>
      <c r="AK342" s="18">
        <f>(Table1[[#This Row],[Food Category]]/$AJ$375)</f>
        <v>0</v>
      </c>
    </row>
    <row r="343" spans="1:37" hidden="1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  <c r="AE343">
        <f t="shared" si="25"/>
        <v>1924.5000000000002</v>
      </c>
      <c r="AF343">
        <f t="shared" si="26"/>
        <v>341.79999999999995</v>
      </c>
      <c r="AG343">
        <f t="shared" si="27"/>
        <v>345.79999999999995</v>
      </c>
      <c r="AH343">
        <f t="shared" si="28"/>
        <v>327.9</v>
      </c>
      <c r="AI343">
        <f t="shared" si="29"/>
        <v>1212.8000000000002</v>
      </c>
      <c r="AK343" s="18">
        <f>(Table1[[#This Row],[Food Category]]/$AJ$375)</f>
        <v>0</v>
      </c>
    </row>
    <row r="344" spans="1:37" hidden="1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  <c r="AE344">
        <f t="shared" si="25"/>
        <v>1919.6000000000001</v>
      </c>
      <c r="AF344">
        <f t="shared" si="26"/>
        <v>336.20000000000005</v>
      </c>
      <c r="AG344">
        <f t="shared" si="27"/>
        <v>350.5</v>
      </c>
      <c r="AH344">
        <f t="shared" si="28"/>
        <v>335.9</v>
      </c>
      <c r="AI344">
        <f t="shared" si="29"/>
        <v>1059.5999999999999</v>
      </c>
      <c r="AK344" s="18">
        <f>(Table1[[#This Row],[Food Category]]/$AJ$375)</f>
        <v>0</v>
      </c>
    </row>
    <row r="345" spans="1:37" hidden="1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  <c r="AE345">
        <f t="shared" si="25"/>
        <v>1954.7000000000003</v>
      </c>
      <c r="AF345">
        <f t="shared" si="26"/>
        <v>339</v>
      </c>
      <c r="AG345">
        <f t="shared" si="27"/>
        <v>344</v>
      </c>
      <c r="AH345">
        <f t="shared" si="28"/>
        <v>322.79999999999995</v>
      </c>
      <c r="AI345">
        <f t="shared" si="29"/>
        <v>1206.5</v>
      </c>
      <c r="AK345" s="18">
        <f>(Table1[[#This Row],[Food Category]]/$AJ$375)</f>
        <v>0</v>
      </c>
    </row>
    <row r="346" spans="1:37" hidden="1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  <c r="AE346">
        <f t="shared" si="25"/>
        <v>1931.8999999999999</v>
      </c>
      <c r="AF346">
        <f t="shared" si="26"/>
        <v>337.29999999999995</v>
      </c>
      <c r="AG346">
        <f t="shared" si="27"/>
        <v>348</v>
      </c>
      <c r="AH346">
        <f t="shared" si="28"/>
        <v>328.8</v>
      </c>
      <c r="AI346">
        <f t="shared" si="29"/>
        <v>1216.5999999999999</v>
      </c>
      <c r="AK346" s="18">
        <f>(Table1[[#This Row],[Food Category]]/$AJ$375)</f>
        <v>0</v>
      </c>
    </row>
    <row r="347" spans="1:37" hidden="1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  <c r="AE347">
        <f t="shared" si="25"/>
        <v>1929.3</v>
      </c>
      <c r="AF347">
        <f t="shared" si="26"/>
        <v>338.5</v>
      </c>
      <c r="AG347">
        <f t="shared" si="27"/>
        <v>351</v>
      </c>
      <c r="AH347">
        <f t="shared" si="28"/>
        <v>336.9</v>
      </c>
      <c r="AI347">
        <f t="shared" si="29"/>
        <v>1064.2</v>
      </c>
      <c r="AK347" s="18">
        <f>(Table1[[#This Row],[Food Category]]/$AJ$375)</f>
        <v>0</v>
      </c>
    </row>
    <row r="348" spans="1:37" hidden="1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  <c r="AE348">
        <f t="shared" si="25"/>
        <v>1965.3999999999999</v>
      </c>
      <c r="AF348">
        <f t="shared" si="26"/>
        <v>341</v>
      </c>
      <c r="AG348">
        <f t="shared" si="27"/>
        <v>344.9</v>
      </c>
      <c r="AH348">
        <f t="shared" si="28"/>
        <v>324</v>
      </c>
      <c r="AI348">
        <f t="shared" si="29"/>
        <v>1211.7999999999997</v>
      </c>
      <c r="AK348" s="18">
        <f>(Table1[[#This Row],[Food Category]]/$AJ$375)</f>
        <v>0</v>
      </c>
    </row>
    <row r="349" spans="1:37" hidden="1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  <c r="AE349">
        <f t="shared" si="25"/>
        <v>1941.4999999999998</v>
      </c>
      <c r="AF349">
        <f t="shared" si="26"/>
        <v>339.4</v>
      </c>
      <c r="AG349">
        <f t="shared" si="27"/>
        <v>348.70000000000005</v>
      </c>
      <c r="AH349">
        <f t="shared" si="28"/>
        <v>329.9</v>
      </c>
      <c r="AI349">
        <f t="shared" si="29"/>
        <v>1221.7</v>
      </c>
      <c r="AK349" s="18">
        <f>(Table1[[#This Row],[Food Category]]/$AJ$375)</f>
        <v>0</v>
      </c>
    </row>
    <row r="350" spans="1:37" hidden="1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  <c r="AE350">
        <f t="shared" si="25"/>
        <v>1943.2999999999997</v>
      </c>
      <c r="AF350">
        <f t="shared" si="26"/>
        <v>341.20000000000005</v>
      </c>
      <c r="AG350">
        <f t="shared" si="27"/>
        <v>353.2</v>
      </c>
      <c r="AH350">
        <f t="shared" si="28"/>
        <v>338</v>
      </c>
      <c r="AI350">
        <f t="shared" si="29"/>
        <v>1069.3</v>
      </c>
      <c r="AK350" s="18">
        <f>(Table1[[#This Row],[Food Category]]/$AJ$375)</f>
        <v>0</v>
      </c>
    </row>
    <row r="351" spans="1:37" hidden="1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  <c r="AE351">
        <f t="shared" si="25"/>
        <v>1979.4</v>
      </c>
      <c r="AF351">
        <f t="shared" si="26"/>
        <v>342.9</v>
      </c>
      <c r="AG351">
        <f t="shared" si="27"/>
        <v>347</v>
      </c>
      <c r="AH351">
        <f t="shared" si="28"/>
        <v>325.10000000000002</v>
      </c>
      <c r="AI351">
        <f t="shared" si="29"/>
        <v>1218.1999999999998</v>
      </c>
      <c r="AK351" s="18">
        <f>(Table1[[#This Row],[Food Category]]/$AJ$375)</f>
        <v>0</v>
      </c>
    </row>
    <row r="352" spans="1:37" hidden="1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  <c r="AE352">
        <f t="shared" si="25"/>
        <v>1955.5000000000002</v>
      </c>
      <c r="AF352">
        <f t="shared" si="26"/>
        <v>341.8</v>
      </c>
      <c r="AG352">
        <f t="shared" si="27"/>
        <v>350.79999999999995</v>
      </c>
      <c r="AH352">
        <f t="shared" si="28"/>
        <v>331.1</v>
      </c>
      <c r="AI352">
        <f t="shared" si="29"/>
        <v>1228.5</v>
      </c>
      <c r="AK352" s="18">
        <f>(Table1[[#This Row],[Food Category]]/$AJ$375)</f>
        <v>0</v>
      </c>
    </row>
    <row r="353" spans="1:39" hidden="1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  <c r="AE353">
        <f t="shared" si="25"/>
        <v>1935.2</v>
      </c>
      <c r="AF353">
        <f t="shared" si="26"/>
        <v>352.5</v>
      </c>
      <c r="AG353">
        <f t="shared" si="27"/>
        <v>355.70000000000005</v>
      </c>
      <c r="AH353">
        <f t="shared" si="28"/>
        <v>338.3</v>
      </c>
      <c r="AI353">
        <f t="shared" si="29"/>
        <v>1072.8</v>
      </c>
      <c r="AK353" s="18">
        <f>(Table1[[#This Row],[Food Category]]/$AJ$375)</f>
        <v>0</v>
      </c>
    </row>
    <row r="354" spans="1:39" hidden="1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  <c r="AE354">
        <f t="shared" si="25"/>
        <v>1958.9</v>
      </c>
      <c r="AF354">
        <f t="shared" si="26"/>
        <v>355.5</v>
      </c>
      <c r="AG354">
        <f t="shared" si="27"/>
        <v>349.6</v>
      </c>
      <c r="AH354">
        <f t="shared" si="28"/>
        <v>325.60000000000002</v>
      </c>
      <c r="AI354">
        <f t="shared" si="29"/>
        <v>1220</v>
      </c>
      <c r="AK354" s="18">
        <f>(Table1[[#This Row],[Food Category]]/$AJ$375)</f>
        <v>0</v>
      </c>
    </row>
    <row r="355" spans="1:39" hidden="1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  <c r="AE355">
        <f t="shared" si="25"/>
        <v>1943.1</v>
      </c>
      <c r="AF355">
        <f t="shared" si="26"/>
        <v>353.70000000000005</v>
      </c>
      <c r="AG355">
        <f t="shared" si="27"/>
        <v>353.4</v>
      </c>
      <c r="AH355">
        <f t="shared" si="28"/>
        <v>331.5</v>
      </c>
      <c r="AI355">
        <f t="shared" si="29"/>
        <v>1232</v>
      </c>
      <c r="AK355" s="18">
        <f>(Table1[[#This Row],[Food Category]]/$AJ$375)</f>
        <v>0</v>
      </c>
    </row>
    <row r="356" spans="1:39" hidden="1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  <c r="AE356">
        <f t="shared" si="25"/>
        <v>1914.6000000000001</v>
      </c>
      <c r="AF356">
        <f t="shared" si="26"/>
        <v>362.5</v>
      </c>
      <c r="AG356">
        <f t="shared" si="27"/>
        <v>359.2</v>
      </c>
      <c r="AH356">
        <f t="shared" si="28"/>
        <v>339</v>
      </c>
      <c r="AI356">
        <f t="shared" si="29"/>
        <v>1075.5</v>
      </c>
      <c r="AK356" s="18">
        <f>(Table1[[#This Row],[Food Category]]/$AJ$375)</f>
        <v>0</v>
      </c>
    </row>
    <row r="357" spans="1:39" hidden="1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  <c r="AE357">
        <f t="shared" si="25"/>
        <v>1929.9999999999998</v>
      </c>
      <c r="AF357">
        <f t="shared" si="26"/>
        <v>365.8</v>
      </c>
      <c r="AG357">
        <f t="shared" si="27"/>
        <v>353.2</v>
      </c>
      <c r="AH357">
        <f t="shared" si="28"/>
        <v>326.5</v>
      </c>
      <c r="AI357">
        <f t="shared" si="29"/>
        <v>1221.3999999999999</v>
      </c>
      <c r="AK357" s="18">
        <f>(Table1[[#This Row],[Food Category]]/$AJ$375)</f>
        <v>0</v>
      </c>
    </row>
    <row r="358" spans="1:39" hidden="1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  <c r="AE358">
        <f t="shared" si="25"/>
        <v>1919.6000000000001</v>
      </c>
      <c r="AF358">
        <f t="shared" si="26"/>
        <v>363.79999999999995</v>
      </c>
      <c r="AG358">
        <f t="shared" si="27"/>
        <v>356.9</v>
      </c>
      <c r="AH358">
        <f t="shared" si="28"/>
        <v>332.3</v>
      </c>
      <c r="AI358">
        <f t="shared" si="29"/>
        <v>1233.2</v>
      </c>
      <c r="AK358" s="18">
        <f>(Table1[[#This Row],[Food Category]]/$AJ$375)</f>
        <v>0</v>
      </c>
    </row>
    <row r="359" spans="1:39" hidden="1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  <c r="AE359">
        <f t="shared" si="25"/>
        <v>1916</v>
      </c>
      <c r="AF359">
        <f t="shared" si="26"/>
        <v>367.20000000000005</v>
      </c>
      <c r="AG359">
        <f t="shared" si="27"/>
        <v>363.1</v>
      </c>
      <c r="AH359">
        <f t="shared" si="28"/>
        <v>340</v>
      </c>
      <c r="AI359">
        <f t="shared" si="29"/>
        <v>1079.8</v>
      </c>
      <c r="AJ359">
        <f>SUM(D3,E3,F3,H3,I3,J3,K3,L3,M3,O3,P3)</f>
        <v>1167.7</v>
      </c>
      <c r="AK359" s="18">
        <f>(Table1[[#This Row],[Food Category]]/$AJ$375)</f>
        <v>7.6065219232247447E-2</v>
      </c>
    </row>
    <row r="360" spans="1:39" hidden="1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  <c r="AE360">
        <f t="shared" si="25"/>
        <v>1938</v>
      </c>
      <c r="AF360">
        <f t="shared" si="26"/>
        <v>372.2</v>
      </c>
      <c r="AG360">
        <f t="shared" si="27"/>
        <v>357.3</v>
      </c>
      <c r="AH360">
        <f t="shared" si="28"/>
        <v>327.3</v>
      </c>
      <c r="AI360">
        <f t="shared" si="29"/>
        <v>1225.1000000000001</v>
      </c>
      <c r="AJ360">
        <f t="shared" ref="AJ360:AJ369" si="30">SUM(D4,E4,F4,H4,I4,J4,K4,L4,M4,O4,P4)</f>
        <v>1164</v>
      </c>
      <c r="AK360" s="18">
        <f>(Table1[[#This Row],[Food Category]]/$AJ$375)</f>
        <v>7.5824197299251536E-2</v>
      </c>
    </row>
    <row r="361" spans="1:39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  <c r="AE361">
        <f t="shared" si="25"/>
        <v>1923.6000000000001</v>
      </c>
      <c r="AF361">
        <f t="shared" si="26"/>
        <v>369.1</v>
      </c>
      <c r="AG361">
        <f t="shared" si="27"/>
        <v>360.9</v>
      </c>
      <c r="AH361">
        <f t="shared" si="28"/>
        <v>333.1</v>
      </c>
      <c r="AI361">
        <f t="shared" si="29"/>
        <v>1238.0999999999999</v>
      </c>
      <c r="AJ361">
        <f t="shared" si="30"/>
        <v>1169.8999999999999</v>
      </c>
      <c r="AK361" s="18">
        <f>(Table1[[#This Row],[Food Category]]/$AJ$375)</f>
        <v>7.6208529570785541E-2</v>
      </c>
      <c r="AM361" t="s">
        <v>92</v>
      </c>
    </row>
    <row r="362" spans="1:39" hidden="1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  <c r="AE362">
        <f t="shared" si="25"/>
        <v>1914.7999999999997</v>
      </c>
      <c r="AF362">
        <f t="shared" si="26"/>
        <v>350.9</v>
      </c>
      <c r="AG362">
        <f t="shared" si="27"/>
        <v>367.29999999999995</v>
      </c>
      <c r="AH362">
        <f t="shared" si="28"/>
        <v>341.8</v>
      </c>
      <c r="AI362">
        <f t="shared" si="29"/>
        <v>1083.4000000000001</v>
      </c>
      <c r="AJ362">
        <f t="shared" si="30"/>
        <v>1180.6000000000001</v>
      </c>
      <c r="AK362" s="18">
        <f>(Table1[[#This Row],[Food Category]]/$AJ$375)</f>
        <v>7.6905538944584517E-2</v>
      </c>
    </row>
    <row r="363" spans="1:39" hidden="1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  <c r="AE363">
        <f t="shared" si="25"/>
        <v>1948.1000000000001</v>
      </c>
      <c r="AF363">
        <f t="shared" si="26"/>
        <v>355.1</v>
      </c>
      <c r="AG363">
        <f t="shared" si="27"/>
        <v>362.20000000000005</v>
      </c>
      <c r="AH363">
        <f t="shared" si="28"/>
        <v>328.20000000000005</v>
      </c>
      <c r="AI363">
        <f t="shared" si="29"/>
        <v>1234.3</v>
      </c>
      <c r="AJ363">
        <f t="shared" si="30"/>
        <v>1173.8</v>
      </c>
      <c r="AK363" s="18">
        <f>(Table1[[#This Row],[Food Category]]/$AJ$375)</f>
        <v>7.6462579716375823E-2</v>
      </c>
    </row>
    <row r="364" spans="1:39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  <c r="AE364">
        <f t="shared" si="25"/>
        <v>1926.6000000000001</v>
      </c>
      <c r="AF364">
        <f t="shared" si="26"/>
        <v>352.5</v>
      </c>
      <c r="AG364">
        <f t="shared" si="27"/>
        <v>365.4</v>
      </c>
      <c r="AH364">
        <f t="shared" si="28"/>
        <v>334.5</v>
      </c>
      <c r="AI364">
        <f t="shared" si="29"/>
        <v>1244.8</v>
      </c>
      <c r="AJ364">
        <f t="shared" si="30"/>
        <v>1170.9999999999998</v>
      </c>
      <c r="AK364" s="18">
        <f>(Table1[[#This Row],[Food Category]]/$AJ$375)</f>
        <v>7.6280184740054588E-2</v>
      </c>
    </row>
    <row r="365" spans="1:39" hidden="1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>
        <f t="shared" si="25"/>
        <v>1914.8999999999999</v>
      </c>
      <c r="AF365">
        <f t="shared" si="26"/>
        <v>350.9</v>
      </c>
      <c r="AG365">
        <f t="shared" si="27"/>
        <v>367.29999999999995</v>
      </c>
      <c r="AH365">
        <f t="shared" si="28"/>
        <v>341.8</v>
      </c>
      <c r="AI365">
        <f t="shared" si="29"/>
        <v>1083.3</v>
      </c>
      <c r="AJ365">
        <f t="shared" si="30"/>
        <v>1175.5</v>
      </c>
      <c r="AK365" s="18">
        <f>(Table1[[#This Row],[Food Category]]/$AJ$375)</f>
        <v>7.6573319523427996E-2</v>
      </c>
    </row>
    <row r="366" spans="1:39" hidden="1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  <c r="AE366">
        <f t="shared" si="25"/>
        <v>1948.3</v>
      </c>
      <c r="AF366">
        <f t="shared" si="26"/>
        <v>355.1</v>
      </c>
      <c r="AG366">
        <f t="shared" si="27"/>
        <v>362.3</v>
      </c>
      <c r="AH366">
        <f t="shared" si="28"/>
        <v>328.20000000000005</v>
      </c>
      <c r="AI366">
        <f t="shared" si="29"/>
        <v>1234.0999999999999</v>
      </c>
      <c r="AJ366">
        <f t="shared" si="30"/>
        <v>1172.7000000000003</v>
      </c>
      <c r="AK366" s="18">
        <f>(Table1[[#This Row],[Food Category]]/$AJ$375)</f>
        <v>7.6390924547106789E-2</v>
      </c>
    </row>
    <row r="367" spans="1:39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>
        <f t="shared" si="25"/>
        <v>1926.6999999999998</v>
      </c>
      <c r="AF367">
        <f t="shared" si="26"/>
        <v>352.5</v>
      </c>
      <c r="AG367">
        <f t="shared" si="27"/>
        <v>365.4</v>
      </c>
      <c r="AH367">
        <f t="shared" si="28"/>
        <v>334.5</v>
      </c>
      <c r="AI367">
        <f t="shared" si="29"/>
        <v>1244.5999999999999</v>
      </c>
      <c r="AJ367">
        <f t="shared" si="30"/>
        <v>1173</v>
      </c>
      <c r="AK367" s="18">
        <f>(Table1[[#This Row],[Food Category]]/$AJ$375)</f>
        <v>7.6410466865998339E-2</v>
      </c>
      <c r="AL367" t="s">
        <v>80</v>
      </c>
    </row>
    <row r="368" spans="1:39" hidden="1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  <c r="AE368">
        <f t="shared" si="25"/>
        <v>1928.1000000000001</v>
      </c>
      <c r="AF368">
        <f t="shared" si="26"/>
        <v>346.1</v>
      </c>
      <c r="AG368">
        <f t="shared" si="27"/>
        <v>371</v>
      </c>
      <c r="AH368">
        <f t="shared" si="28"/>
        <v>342.6</v>
      </c>
      <c r="AI368">
        <f t="shared" si="29"/>
        <v>1087.2</v>
      </c>
      <c r="AJ368">
        <f t="shared" si="30"/>
        <v>1184.8</v>
      </c>
      <c r="AK368" s="18">
        <f>(Table1[[#This Row],[Food Category]]/$AJ$375)</f>
        <v>7.7179131409066348E-2</v>
      </c>
    </row>
    <row r="369" spans="1:40" hidden="1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  <c r="AE369">
        <f t="shared" si="25"/>
        <v>1966.4999999999998</v>
      </c>
      <c r="AF369">
        <f t="shared" si="26"/>
        <v>351.20000000000005</v>
      </c>
      <c r="AG369">
        <f t="shared" si="27"/>
        <v>365.9</v>
      </c>
      <c r="AH369">
        <f t="shared" si="28"/>
        <v>328.9</v>
      </c>
      <c r="AI369">
        <f t="shared" si="29"/>
        <v>1238.8000000000002</v>
      </c>
      <c r="AJ369">
        <f t="shared" si="30"/>
        <v>1177.3</v>
      </c>
      <c r="AK369" s="18">
        <f>(Table1[[#This Row],[Food Category]]/$AJ$375)</f>
        <v>7.6690573436777348E-2</v>
      </c>
    </row>
    <row r="370" spans="1:40" hidden="1" x14ac:dyDescent="0.3"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E370">
        <f t="shared" si="25"/>
        <v>1941.6000000000001</v>
      </c>
      <c r="AF370">
        <f t="shared" si="26"/>
        <v>348</v>
      </c>
      <c r="AG370">
        <f t="shared" si="27"/>
        <v>369</v>
      </c>
      <c r="AH370">
        <f t="shared" si="28"/>
        <v>335.2</v>
      </c>
      <c r="AI370">
        <f t="shared" si="29"/>
        <v>1071.5999999999999</v>
      </c>
      <c r="AK370" s="18">
        <f>(Table1[[#This Row],[Food Category]]/$AJ$375)</f>
        <v>0</v>
      </c>
    </row>
    <row r="371" spans="1:40" hidden="1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  <c r="AE371">
        <f t="shared" si="25"/>
        <v>1940.1000000000001</v>
      </c>
      <c r="AF371">
        <f t="shared" si="26"/>
        <v>350.6</v>
      </c>
      <c r="AG371">
        <f t="shared" si="27"/>
        <v>372.70000000000005</v>
      </c>
      <c r="AH371">
        <f t="shared" si="28"/>
        <v>343.5</v>
      </c>
      <c r="AI371">
        <f t="shared" si="29"/>
        <v>1091.2</v>
      </c>
      <c r="AJ371">
        <f t="shared" ref="AJ371:AJ372" si="31">SUM(D15,E15,F15,H15,I15,J15,K15,L15,M15,O15,P15)</f>
        <v>1202.5999999999999</v>
      </c>
      <c r="AK371" s="18">
        <f>(Table1[[#This Row],[Food Category]]/$AJ$375)</f>
        <v>7.8338642329965541E-2</v>
      </c>
      <c r="AL371" s="1" t="s">
        <v>1</v>
      </c>
      <c r="AM371" s="2">
        <v>2023</v>
      </c>
    </row>
    <row r="372" spans="1:40" hidden="1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  <c r="AE372">
        <f t="shared" si="25"/>
        <v>1979.0000000000002</v>
      </c>
      <c r="AF372">
        <f t="shared" si="26"/>
        <v>356.1</v>
      </c>
      <c r="AG372">
        <f t="shared" si="27"/>
        <v>367.79999999999995</v>
      </c>
      <c r="AH372">
        <f t="shared" si="28"/>
        <v>329.6</v>
      </c>
      <c r="AI372">
        <f t="shared" si="29"/>
        <v>1243.5</v>
      </c>
      <c r="AJ372">
        <f t="shared" si="31"/>
        <v>1187.3</v>
      </c>
      <c r="AK372" s="18">
        <f>(Table1[[#This Row],[Food Category]]/$AJ$375)</f>
        <v>7.7341984066496006E-2</v>
      </c>
    </row>
    <row r="373" spans="1:40" x14ac:dyDescent="0.3">
      <c r="A373" t="s">
        <v>34</v>
      </c>
      <c r="B373">
        <v>2023</v>
      </c>
      <c r="C373" t="s">
        <v>37</v>
      </c>
      <c r="AE373">
        <f>SUM(D373,E373,H373,I373,J373,K373,L373,M373,N373,O373,P373)</f>
        <v>0</v>
      </c>
      <c r="AF373">
        <f>SUM(F373,G373)</f>
        <v>0</v>
      </c>
      <c r="AG373">
        <f>SUM(X373,AB373)</f>
        <v>0</v>
      </c>
      <c r="AH373">
        <f>SUM(Z373,Y373)</f>
        <v>0</v>
      </c>
      <c r="AI373">
        <f>SUM(Q373,U373,V373,W373,Y373,AC373,AD373)</f>
        <v>0</v>
      </c>
      <c r="AJ373">
        <v>1179.3</v>
      </c>
      <c r="AK373" s="18">
        <f>(Table1[[#This Row],[Food Category]]/$AJ$375)</f>
        <v>7.6820855562721085E-2</v>
      </c>
      <c r="AL373" s="1" t="s">
        <v>82</v>
      </c>
      <c r="AM373" s="1" t="s">
        <v>52</v>
      </c>
    </row>
    <row r="374" spans="1:40" x14ac:dyDescent="0.3">
      <c r="A374" t="s">
        <v>34</v>
      </c>
      <c r="B374">
        <v>2023</v>
      </c>
      <c r="C374" t="s">
        <v>38</v>
      </c>
      <c r="D374">
        <v>173.7</v>
      </c>
      <c r="E374">
        <v>214.3</v>
      </c>
      <c r="F374">
        <v>173.2</v>
      </c>
      <c r="G374">
        <v>179.5</v>
      </c>
      <c r="H374">
        <v>170</v>
      </c>
      <c r="I374">
        <v>172.2</v>
      </c>
      <c r="J374">
        <v>161</v>
      </c>
      <c r="K374">
        <v>175.6</v>
      </c>
      <c r="L374">
        <v>122.7</v>
      </c>
      <c r="M374">
        <v>218</v>
      </c>
      <c r="N374">
        <v>173.4</v>
      </c>
      <c r="O374">
        <v>194.2</v>
      </c>
      <c r="P374">
        <v>179.1</v>
      </c>
      <c r="Q374">
        <v>201</v>
      </c>
      <c r="R374">
        <v>187.3</v>
      </c>
      <c r="S374">
        <v>179.7</v>
      </c>
      <c r="T374">
        <v>186.2</v>
      </c>
      <c r="U374">
        <v>175.6</v>
      </c>
      <c r="V374">
        <v>182.8</v>
      </c>
      <c r="W374">
        <v>175.2</v>
      </c>
      <c r="X374">
        <v>185.7</v>
      </c>
      <c r="Y374">
        <v>164.8</v>
      </c>
      <c r="Z374">
        <v>171.2</v>
      </c>
      <c r="AA374">
        <v>177.1</v>
      </c>
      <c r="AB374">
        <v>185.2</v>
      </c>
      <c r="AC374">
        <v>175.7</v>
      </c>
      <c r="AD374">
        <v>179.1</v>
      </c>
      <c r="AE374">
        <f t="shared" si="25"/>
        <v>1954.2</v>
      </c>
      <c r="AF374">
        <f t="shared" si="26"/>
        <v>352.7</v>
      </c>
      <c r="AG374">
        <f t="shared" si="27"/>
        <v>370.9</v>
      </c>
      <c r="AH374">
        <f t="shared" si="28"/>
        <v>336</v>
      </c>
      <c r="AI374">
        <f t="shared" si="29"/>
        <v>1254.2</v>
      </c>
      <c r="AJ374">
        <f>SUM(D17,E17,F17,H17,I17,J17,K17,L17,M17,O17,P17)</f>
        <v>1203.5</v>
      </c>
      <c r="AK374" s="18">
        <f>(Table1[[#This Row],[Food Category]]/$AJ$375)</f>
        <v>7.8397269286640231E-2</v>
      </c>
      <c r="AL374" s="1" t="s">
        <v>50</v>
      </c>
      <c r="AM374" t="s">
        <v>34</v>
      </c>
      <c r="AN374" t="s">
        <v>51</v>
      </c>
    </row>
    <row r="375" spans="1:40" x14ac:dyDescent="0.3">
      <c r="A375" t="s">
        <v>79</v>
      </c>
      <c r="AE375">
        <f>SUM(D375,E375,H375,I375,J375,K375,L375,M375,N375,O375,P375)</f>
        <v>0</v>
      </c>
      <c r="AF375">
        <f>SUM(F375,G375)</f>
        <v>0</v>
      </c>
      <c r="AG375">
        <f>SUM(X375,AB375)</f>
        <v>0</v>
      </c>
      <c r="AH375">
        <f>SUM(Z375,Y375)</f>
        <v>0</v>
      </c>
      <c r="AI375">
        <f>SUM(Q375,U375,V375,W375,Y375,AC375,AD375)</f>
        <v>0</v>
      </c>
      <c r="AJ375">
        <f>SUM(AJ361:AJ374)</f>
        <v>15351.299999999997</v>
      </c>
      <c r="AK375" s="18">
        <v>0.38100000000000001</v>
      </c>
      <c r="AL375" s="2" t="s">
        <v>31</v>
      </c>
      <c r="AM375" s="18">
        <v>7.6208529570785541E-2</v>
      </c>
      <c r="AN375" s="18">
        <v>7.6208529570785541E-2</v>
      </c>
    </row>
    <row r="376" spans="1:40" x14ac:dyDescent="0.3">
      <c r="AE376">
        <f>SUM(D376,E376,H376,I376,J376,K376,L376,M376,N376,O376,P376)</f>
        <v>0</v>
      </c>
      <c r="AF376">
        <f>SUM(F376,G376)</f>
        <v>0</v>
      </c>
      <c r="AG376">
        <f>SUM(X376,AB376)</f>
        <v>0</v>
      </c>
      <c r="AH376">
        <f>SUM(Z376,Y376)</f>
        <v>0</v>
      </c>
      <c r="AI376">
        <f>SUM(Q376,U376,V376,W376,Y376,AC376,AD376)</f>
        <v>0</v>
      </c>
      <c r="AK376" s="18" t="s">
        <v>80</v>
      </c>
      <c r="AL376" s="2" t="s">
        <v>35</v>
      </c>
      <c r="AM376" s="18">
        <v>7.6280184740054588E-2</v>
      </c>
      <c r="AN376" s="18">
        <v>7.6280184740054588E-2</v>
      </c>
    </row>
    <row r="377" spans="1:40" x14ac:dyDescent="0.3">
      <c r="AL377" s="2" t="s">
        <v>36</v>
      </c>
      <c r="AM377" s="18">
        <v>7.6410466865998339E-2</v>
      </c>
      <c r="AN377" s="18">
        <v>7.6410466865998339E-2</v>
      </c>
    </row>
    <row r="378" spans="1:40" x14ac:dyDescent="0.3">
      <c r="AL378" s="2" t="s">
        <v>37</v>
      </c>
      <c r="AM378" s="18">
        <v>7.6820855562721085E-2</v>
      </c>
      <c r="AN378" s="18">
        <v>7.6820855562721085E-2</v>
      </c>
    </row>
    <row r="379" spans="1:40" x14ac:dyDescent="0.3">
      <c r="AL379" s="2" t="s">
        <v>38</v>
      </c>
      <c r="AM379" s="18">
        <v>7.8397269286640231E-2</v>
      </c>
      <c r="AN379" s="18">
        <v>7.8397269286640231E-2</v>
      </c>
    </row>
    <row r="380" spans="1:40" x14ac:dyDescent="0.3">
      <c r="AL380" s="2" t="s">
        <v>51</v>
      </c>
      <c r="AM380" s="18">
        <v>7.6823461205239946E-2</v>
      </c>
      <c r="AN380" s="18">
        <v>7.6823461205239946E-2</v>
      </c>
    </row>
  </sheetData>
  <phoneticPr fontId="18" type="noConversion"/>
  <conditionalFormatting pivot="1" sqref="AM379">
    <cfRule type="top10" dxfId="1" priority="2" rank="10"/>
  </conditionalFormatting>
  <conditionalFormatting pivot="1" sqref="AM375:AM379">
    <cfRule type="top10" dxfId="0" priority="1" percent="1" bottom="1" rank="10"/>
  </conditionalFormatting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BAEB-1C25-453B-9C6C-7731EBAE2B0E}">
  <dimension ref="A1:K20"/>
  <sheetViews>
    <sheetView showGridLines="0" workbookViewId="0">
      <selection activeCell="E20" sqref="E20"/>
    </sheetView>
  </sheetViews>
  <sheetFormatPr defaultRowHeight="14.4" x14ac:dyDescent="0.3"/>
  <cols>
    <col min="2" max="2" width="12.44140625" bestFit="1" customWidth="1"/>
    <col min="3" max="3" width="17.44140625" bestFit="1" customWidth="1"/>
    <col min="4" max="4" width="15.5546875" bestFit="1" customWidth="1"/>
    <col min="5" max="5" width="26.77734375" bestFit="1" customWidth="1"/>
    <col min="6" max="6" width="10.5546875" bestFit="1" customWidth="1"/>
    <col min="7" max="7" width="26.77734375" bestFit="1" customWidth="1"/>
    <col min="8" max="8" width="6" bestFit="1" customWidth="1"/>
    <col min="9" max="9" width="17.77734375" bestFit="1" customWidth="1"/>
    <col min="10" max="10" width="23.88671875" bestFit="1" customWidth="1"/>
    <col min="11" max="11" width="12.6640625" bestFit="1" customWidth="1"/>
    <col min="12" max="12" width="23.88671875" bestFit="1" customWidth="1"/>
    <col min="13" max="13" width="17.33203125" bestFit="1" customWidth="1"/>
    <col min="14" max="14" width="28.44140625" bestFit="1" customWidth="1"/>
    <col min="15" max="15" width="12.6640625" bestFit="1" customWidth="1"/>
    <col min="16" max="16" width="23.88671875" bestFit="1" customWidth="1"/>
    <col min="17" max="17" width="19.109375" bestFit="1" customWidth="1"/>
    <col min="18" max="18" width="17.33203125" bestFit="1" customWidth="1"/>
    <col min="19" max="19" width="28.44140625" bestFit="1" customWidth="1"/>
  </cols>
  <sheetData>
    <row r="1" spans="1:11" x14ac:dyDescent="0.3">
      <c r="A1" s="7" t="s">
        <v>0</v>
      </c>
      <c r="B1" s="3" t="s">
        <v>1</v>
      </c>
      <c r="C1" s="3" t="s">
        <v>2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4" t="s">
        <v>68</v>
      </c>
    </row>
    <row r="2" spans="1:11" x14ac:dyDescent="0.3">
      <c r="A2" s="8" t="s">
        <v>34</v>
      </c>
      <c r="B2" s="5">
        <v>2019</v>
      </c>
      <c r="C2" s="5" t="s">
        <v>31</v>
      </c>
      <c r="D2" s="5">
        <v>277.89999999999998</v>
      </c>
      <c r="E2" s="5">
        <v>1478</v>
      </c>
      <c r="F2" s="5">
        <v>704.3</v>
      </c>
      <c r="G2" s="5"/>
      <c r="H2" s="5"/>
      <c r="I2" s="5"/>
      <c r="J2" s="10"/>
    </row>
    <row r="3" spans="1:11" x14ac:dyDescent="0.3">
      <c r="A3" s="9" t="s">
        <v>34</v>
      </c>
      <c r="B3" s="6">
        <v>2019</v>
      </c>
      <c r="C3" s="6" t="s">
        <v>46</v>
      </c>
      <c r="D3" s="6">
        <v>290.8</v>
      </c>
      <c r="E3" s="6">
        <v>1662</v>
      </c>
      <c r="F3" s="6">
        <v>727.8</v>
      </c>
      <c r="G3" s="24">
        <f>(D3-D2)/D2*100</f>
        <v>4.6419575386829921</v>
      </c>
      <c r="H3" s="6">
        <f>(E3-E2)/E2*100</f>
        <v>12.449255751014885</v>
      </c>
      <c r="I3" s="24">
        <f>(F3-F2)/F2*100</f>
        <v>3.3366463154905581</v>
      </c>
      <c r="J3" s="11">
        <v>2019</v>
      </c>
    </row>
    <row r="4" spans="1:11" x14ac:dyDescent="0.3">
      <c r="A4" s="8" t="s">
        <v>34</v>
      </c>
      <c r="B4" s="5">
        <v>2020</v>
      </c>
      <c r="C4" s="5" t="s">
        <v>31</v>
      </c>
      <c r="D4" s="5">
        <v>293.5</v>
      </c>
      <c r="E4" s="5">
        <v>1654.2</v>
      </c>
      <c r="F4" s="5">
        <v>731.69999999999993</v>
      </c>
      <c r="G4" s="6"/>
      <c r="H4" s="6"/>
      <c r="I4" s="6"/>
      <c r="J4" s="10"/>
    </row>
    <row r="5" spans="1:11" x14ac:dyDescent="0.3">
      <c r="A5" s="9" t="s">
        <v>34</v>
      </c>
      <c r="B5" s="6">
        <v>2020</v>
      </c>
      <c r="C5" s="6" t="s">
        <v>46</v>
      </c>
      <c r="D5" s="6">
        <v>315.39999999999998</v>
      </c>
      <c r="E5" s="6">
        <v>1805.8</v>
      </c>
      <c r="F5" s="6">
        <v>752.8</v>
      </c>
      <c r="G5" s="24">
        <f t="shared" ref="G5:G7" si="0">(D5-D4)/D4*100</f>
        <v>7.4616695059625133</v>
      </c>
      <c r="H5" s="6">
        <f t="shared" ref="H5:H7" si="1">(E5-E4)/E4*100</f>
        <v>9.1645508402853277</v>
      </c>
      <c r="I5" s="24">
        <f t="shared" ref="I5:I7" si="2">(F5-F4)/F4*100</f>
        <v>2.883695503621706</v>
      </c>
      <c r="J5" s="11">
        <v>2020</v>
      </c>
    </row>
    <row r="6" spans="1:11" x14ac:dyDescent="0.3">
      <c r="A6" s="8" t="s">
        <v>34</v>
      </c>
      <c r="B6" s="5">
        <v>2021</v>
      </c>
      <c r="C6" s="5" t="s">
        <v>31</v>
      </c>
      <c r="D6" s="5">
        <v>316.10000000000002</v>
      </c>
      <c r="E6" s="5">
        <v>1770.6</v>
      </c>
      <c r="F6" s="5">
        <v>756.7</v>
      </c>
      <c r="G6" s="6"/>
      <c r="H6" s="6"/>
      <c r="I6" s="6"/>
      <c r="J6" s="10"/>
    </row>
    <row r="7" spans="1:11" x14ac:dyDescent="0.3">
      <c r="A7" s="9" t="s">
        <v>34</v>
      </c>
      <c r="B7" s="6">
        <v>2021</v>
      </c>
      <c r="C7" s="6" t="s">
        <v>46</v>
      </c>
      <c r="D7" s="6">
        <v>333.2</v>
      </c>
      <c r="E7" s="6">
        <v>1856.8000000000002</v>
      </c>
      <c r="F7" s="6">
        <v>807.8</v>
      </c>
      <c r="G7" s="24">
        <f t="shared" si="0"/>
        <v>5.4096804808604757</v>
      </c>
      <c r="H7" s="6">
        <f t="shared" si="1"/>
        <v>4.8684061899921094</v>
      </c>
      <c r="I7" s="24">
        <f t="shared" si="2"/>
        <v>6.7530064754856483</v>
      </c>
      <c r="J7" s="11">
        <v>2021</v>
      </c>
    </row>
    <row r="8" spans="1:11" x14ac:dyDescent="0.3">
      <c r="A8" s="8" t="s">
        <v>58</v>
      </c>
      <c r="B8" s="5"/>
      <c r="C8" s="5"/>
      <c r="D8" s="5"/>
      <c r="E8" s="5"/>
      <c r="F8" s="5"/>
      <c r="G8" s="5">
        <v>17.510000000000002</v>
      </c>
      <c r="H8" s="5">
        <v>26.48</v>
      </c>
      <c r="I8" s="5">
        <v>12.97</v>
      </c>
      <c r="J8" s="10"/>
    </row>
    <row r="9" spans="1:11" x14ac:dyDescent="0.3">
      <c r="A9" s="9"/>
      <c r="B9" s="6"/>
      <c r="C9" s="6"/>
      <c r="D9" s="6"/>
      <c r="E9" s="6"/>
      <c r="F9" s="6"/>
      <c r="G9" s="6"/>
      <c r="H9" s="6"/>
      <c r="I9" s="6"/>
      <c r="J9" s="11"/>
    </row>
    <row r="11" spans="1:11" ht="15.6" x14ac:dyDescent="0.3">
      <c r="B11" s="15" t="s">
        <v>90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15.6" x14ac:dyDescent="0.3">
      <c r="B12" s="15" t="s">
        <v>91</v>
      </c>
      <c r="C12" s="15"/>
      <c r="D12" s="15"/>
      <c r="E12" s="15"/>
      <c r="F12" s="15"/>
      <c r="G12" s="15"/>
      <c r="H12" s="15"/>
      <c r="I12" s="15"/>
      <c r="J12" s="15"/>
      <c r="K12" s="15"/>
    </row>
    <row r="14" spans="1:11" x14ac:dyDescent="0.3">
      <c r="B14" s="1" t="s">
        <v>0</v>
      </c>
      <c r="C14" t="s">
        <v>34</v>
      </c>
    </row>
    <row r="15" spans="1:11" x14ac:dyDescent="0.3">
      <c r="E15" s="14"/>
    </row>
    <row r="16" spans="1:11" x14ac:dyDescent="0.3">
      <c r="B16" s="1" t="s">
        <v>50</v>
      </c>
      <c r="C16" t="s">
        <v>69</v>
      </c>
      <c r="D16" t="s">
        <v>70</v>
      </c>
      <c r="E16" t="s">
        <v>71</v>
      </c>
    </row>
    <row r="17" spans="2:5" x14ac:dyDescent="0.3">
      <c r="B17" s="2">
        <v>2019</v>
      </c>
      <c r="C17">
        <v>4.6419575386829921</v>
      </c>
      <c r="D17">
        <v>12.449255751014885</v>
      </c>
      <c r="E17">
        <v>3.3366463154905581</v>
      </c>
    </row>
    <row r="18" spans="2:5" x14ac:dyDescent="0.3">
      <c r="B18" s="2">
        <v>2020</v>
      </c>
      <c r="C18">
        <v>7.4616695059625133</v>
      </c>
      <c r="D18">
        <v>9.1645508402853277</v>
      </c>
      <c r="E18">
        <v>2.883695503621706</v>
      </c>
    </row>
    <row r="19" spans="2:5" x14ac:dyDescent="0.3">
      <c r="B19" s="2">
        <v>2021</v>
      </c>
      <c r="C19">
        <v>5.4096804808604757</v>
      </c>
      <c r="D19">
        <v>4.8684061899921094</v>
      </c>
      <c r="E19">
        <v>6.7530064754856483</v>
      </c>
    </row>
    <row r="20" spans="2:5" x14ac:dyDescent="0.3">
      <c r="B20" s="2" t="s">
        <v>51</v>
      </c>
      <c r="C20">
        <v>5.8377691751686607</v>
      </c>
      <c r="D20">
        <v>8.8274042604307734</v>
      </c>
      <c r="E20">
        <v>4.3244494315326376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D65A-79AD-4D48-94B3-C1AABCF35120}">
  <dimension ref="A1:K65"/>
  <sheetViews>
    <sheetView showGridLines="0" tabSelected="1" workbookViewId="0">
      <selection activeCell="C9" sqref="C9"/>
    </sheetView>
  </sheetViews>
  <sheetFormatPr defaultRowHeight="14.4" x14ac:dyDescent="0.3"/>
  <cols>
    <col min="1" max="1" width="12.44140625" bestFit="1" customWidth="1"/>
    <col min="2" max="2" width="21.33203125" bestFit="1" customWidth="1"/>
    <col min="3" max="3" width="25.77734375" bestFit="1" customWidth="1"/>
    <col min="4" max="4" width="21.88671875" bestFit="1" customWidth="1"/>
    <col min="5" max="5" width="23.44140625" bestFit="1" customWidth="1"/>
    <col min="6" max="6" width="15.21875" customWidth="1"/>
    <col min="7" max="7" width="13.88671875" customWidth="1"/>
    <col min="8" max="8" width="15.109375" customWidth="1"/>
    <col min="9" max="9" width="19.77734375" customWidth="1"/>
    <col min="10" max="10" width="15.88671875" customWidth="1"/>
  </cols>
  <sheetData>
    <row r="1" spans="1:11" x14ac:dyDescent="0.3">
      <c r="A1" t="s">
        <v>1</v>
      </c>
      <c r="B1" t="s">
        <v>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3">
      <c r="A2">
        <v>2021</v>
      </c>
      <c r="B2" t="s">
        <v>102</v>
      </c>
      <c r="C2">
        <v>54</v>
      </c>
      <c r="D2">
        <v>4.0999999999999996</v>
      </c>
      <c r="E2">
        <v>3.2</v>
      </c>
      <c r="F2">
        <v>5.5</v>
      </c>
    </row>
    <row r="3" spans="1:11" x14ac:dyDescent="0.3">
      <c r="A3">
        <v>2021</v>
      </c>
      <c r="B3" t="s">
        <v>103</v>
      </c>
      <c r="C3">
        <v>56</v>
      </c>
      <c r="D3">
        <v>4.3</v>
      </c>
      <c r="E3">
        <v>3.5</v>
      </c>
      <c r="F3">
        <v>5.6</v>
      </c>
      <c r="G3">
        <v>3.7037037037036979</v>
      </c>
      <c r="H3">
        <v>4.8780487804878092</v>
      </c>
      <c r="I3">
        <v>9.375</v>
      </c>
      <c r="J3">
        <v>1.8181818181818079</v>
      </c>
    </row>
    <row r="4" spans="1:11" x14ac:dyDescent="0.3">
      <c r="A4">
        <v>2021</v>
      </c>
      <c r="B4" t="s">
        <v>104</v>
      </c>
      <c r="C4">
        <v>62</v>
      </c>
      <c r="D4">
        <v>4.8</v>
      </c>
      <c r="E4">
        <v>3.8</v>
      </c>
      <c r="F4">
        <v>5.8</v>
      </c>
      <c r="G4">
        <v>10.714285714285721</v>
      </c>
      <c r="H4">
        <v>11.627906976744191</v>
      </c>
      <c r="I4">
        <v>8.5714285714285623</v>
      </c>
      <c r="J4">
        <v>3.5714285714285809</v>
      </c>
    </row>
    <row r="5" spans="1:11" x14ac:dyDescent="0.3">
      <c r="A5">
        <v>2021</v>
      </c>
      <c r="B5" t="s">
        <v>105</v>
      </c>
      <c r="C5">
        <v>65</v>
      </c>
      <c r="D5">
        <v>5</v>
      </c>
      <c r="E5">
        <v>4.2</v>
      </c>
      <c r="F5">
        <v>6.1</v>
      </c>
      <c r="G5">
        <v>4.8387096774193514</v>
      </c>
      <c r="H5">
        <v>4.1666666666666741</v>
      </c>
      <c r="I5">
        <v>10.526315789473699</v>
      </c>
      <c r="J5">
        <v>5.1724137931034484</v>
      </c>
    </row>
    <row r="6" spans="1:11" x14ac:dyDescent="0.3">
      <c r="A6">
        <v>2021</v>
      </c>
      <c r="B6" t="s">
        <v>38</v>
      </c>
      <c r="C6">
        <v>68</v>
      </c>
      <c r="D6">
        <v>5.4</v>
      </c>
      <c r="E6">
        <v>4.5</v>
      </c>
      <c r="F6">
        <v>6.3</v>
      </c>
      <c r="G6">
        <v>4.6153846153846212</v>
      </c>
      <c r="H6">
        <v>8.0000000000000071</v>
      </c>
      <c r="I6">
        <v>7.1428571428571397</v>
      </c>
      <c r="J6">
        <v>3.278688524590168</v>
      </c>
    </row>
    <row r="7" spans="1:11" x14ac:dyDescent="0.3">
      <c r="A7">
        <v>2021</v>
      </c>
      <c r="B7" t="s">
        <v>106</v>
      </c>
      <c r="C7">
        <v>70</v>
      </c>
      <c r="D7">
        <v>5.8</v>
      </c>
      <c r="E7">
        <v>4.9000000000000004</v>
      </c>
      <c r="F7">
        <v>6.4</v>
      </c>
      <c r="G7">
        <v>2.9411764705882248</v>
      </c>
      <c r="H7">
        <v>7.4074074074073959</v>
      </c>
      <c r="I7">
        <v>8.8888888888889017</v>
      </c>
      <c r="J7">
        <v>1.5873015873016041</v>
      </c>
    </row>
    <row r="8" spans="1:11" x14ac:dyDescent="0.3">
      <c r="A8">
        <v>2021</v>
      </c>
      <c r="B8" t="s">
        <v>107</v>
      </c>
      <c r="C8">
        <v>73</v>
      </c>
      <c r="D8">
        <v>6</v>
      </c>
      <c r="E8">
        <v>5.2</v>
      </c>
      <c r="F8">
        <v>6.7</v>
      </c>
      <c r="G8">
        <v>4.2857142857142927</v>
      </c>
      <c r="H8">
        <v>3.448275862068972</v>
      </c>
      <c r="I8">
        <v>6.1224489795918444</v>
      </c>
      <c r="J8">
        <v>4.6875</v>
      </c>
    </row>
    <row r="9" spans="1:11" x14ac:dyDescent="0.3">
      <c r="A9">
        <v>2021</v>
      </c>
      <c r="B9" t="s">
        <v>108</v>
      </c>
      <c r="C9">
        <v>71</v>
      </c>
      <c r="D9">
        <v>5.7</v>
      </c>
      <c r="E9">
        <v>4.8</v>
      </c>
      <c r="F9">
        <v>6.6</v>
      </c>
      <c r="G9">
        <v>-2.7397260273972601</v>
      </c>
      <c r="H9">
        <v>-4.9999999999999929</v>
      </c>
      <c r="I9">
        <v>-7.6923076923076987</v>
      </c>
      <c r="J9">
        <v>-1.4925373134328399</v>
      </c>
    </row>
    <row r="10" spans="1:11" x14ac:dyDescent="0.3">
      <c r="A10">
        <v>2021</v>
      </c>
      <c r="B10" t="s">
        <v>109</v>
      </c>
      <c r="C10">
        <v>72</v>
      </c>
      <c r="D10">
        <v>5.9</v>
      </c>
      <c r="E10">
        <v>5</v>
      </c>
      <c r="F10">
        <v>6.5</v>
      </c>
      <c r="G10">
        <v>1.40845070422535</v>
      </c>
      <c r="H10">
        <v>3.5087719298245719</v>
      </c>
      <c r="I10">
        <v>4.1666666666666741</v>
      </c>
      <c r="J10">
        <v>-1.515151515151514</v>
      </c>
    </row>
    <row r="11" spans="1:11" x14ac:dyDescent="0.3">
      <c r="A11">
        <v>2021</v>
      </c>
      <c r="B11" t="s">
        <v>110</v>
      </c>
      <c r="C11">
        <v>75</v>
      </c>
      <c r="D11">
        <v>6.3</v>
      </c>
      <c r="E11">
        <v>5.4</v>
      </c>
      <c r="F11">
        <v>6.8</v>
      </c>
      <c r="G11">
        <v>4.1666666666666741</v>
      </c>
      <c r="H11">
        <v>6.7796610169491336</v>
      </c>
      <c r="I11">
        <v>8.0000000000000071</v>
      </c>
      <c r="J11">
        <v>4.6153846153846212</v>
      </c>
    </row>
    <row r="12" spans="1:11" x14ac:dyDescent="0.3">
      <c r="A12">
        <v>2021</v>
      </c>
      <c r="B12" t="s">
        <v>111</v>
      </c>
      <c r="C12">
        <v>77</v>
      </c>
      <c r="D12">
        <v>6.6</v>
      </c>
      <c r="E12">
        <v>5.7</v>
      </c>
      <c r="F12">
        <v>7</v>
      </c>
      <c r="G12">
        <v>2.6666666666666621</v>
      </c>
      <c r="H12">
        <v>4.7619047619047672</v>
      </c>
      <c r="I12">
        <v>5.555555555555558</v>
      </c>
      <c r="J12">
        <v>2.941176470588247</v>
      </c>
    </row>
    <row r="13" spans="1:11" x14ac:dyDescent="0.3">
      <c r="A13">
        <v>2021</v>
      </c>
      <c r="B13" t="s">
        <v>112</v>
      </c>
      <c r="C13">
        <v>79</v>
      </c>
      <c r="D13">
        <v>6.9</v>
      </c>
      <c r="E13">
        <v>6</v>
      </c>
      <c r="F13">
        <v>7.2</v>
      </c>
      <c r="G13">
        <v>2.5974025974025978</v>
      </c>
      <c r="H13">
        <v>4.5454545454545636</v>
      </c>
      <c r="I13">
        <v>5.2631578947368363</v>
      </c>
      <c r="J13">
        <v>2.8571428571428692</v>
      </c>
    </row>
    <row r="14" spans="1:11" x14ac:dyDescent="0.3">
      <c r="A14">
        <v>2022</v>
      </c>
      <c r="B14" t="s">
        <v>102</v>
      </c>
      <c r="C14">
        <v>81</v>
      </c>
      <c r="D14">
        <v>7.1</v>
      </c>
      <c r="E14">
        <v>6.2</v>
      </c>
      <c r="F14">
        <v>7.5</v>
      </c>
      <c r="G14">
        <v>2.531645569620244</v>
      </c>
      <c r="H14">
        <v>2.8985507246376718</v>
      </c>
      <c r="I14">
        <v>3.3333333333333441</v>
      </c>
      <c r="J14">
        <v>4.1666666666666741</v>
      </c>
    </row>
    <row r="15" spans="1:11" x14ac:dyDescent="0.3">
      <c r="A15">
        <v>2022</v>
      </c>
      <c r="B15" t="s">
        <v>103</v>
      </c>
      <c r="C15">
        <v>84</v>
      </c>
      <c r="D15">
        <v>7.4</v>
      </c>
      <c r="E15">
        <v>6.7</v>
      </c>
      <c r="F15">
        <v>7.8</v>
      </c>
      <c r="G15">
        <v>3.7037037037036979</v>
      </c>
      <c r="H15">
        <v>4.2253521126760729</v>
      </c>
      <c r="I15">
        <v>8.0645161290322509</v>
      </c>
      <c r="J15">
        <v>4.0000000000000044</v>
      </c>
    </row>
    <row r="16" spans="1:11" x14ac:dyDescent="0.3">
      <c r="A16">
        <v>2022</v>
      </c>
      <c r="B16" t="s">
        <v>104</v>
      </c>
      <c r="C16">
        <v>92</v>
      </c>
      <c r="D16">
        <v>8</v>
      </c>
      <c r="E16">
        <v>7.3</v>
      </c>
      <c r="F16">
        <v>8.1999999999999993</v>
      </c>
      <c r="G16">
        <v>9.5238095238095344</v>
      </c>
      <c r="H16">
        <v>8.108108108108091</v>
      </c>
      <c r="I16">
        <v>8.9552238805970177</v>
      </c>
      <c r="J16">
        <v>5.1282051282051322</v>
      </c>
    </row>
    <row r="17" spans="1:10" x14ac:dyDescent="0.3">
      <c r="A17">
        <v>2022</v>
      </c>
      <c r="B17" t="s">
        <v>105</v>
      </c>
      <c r="C17">
        <v>105</v>
      </c>
      <c r="D17">
        <v>8.8000000000000007</v>
      </c>
      <c r="E17">
        <v>8</v>
      </c>
      <c r="F17">
        <v>8.6</v>
      </c>
      <c r="G17">
        <v>14.13043478260869</v>
      </c>
      <c r="H17">
        <v>10.000000000000011</v>
      </c>
      <c r="I17">
        <v>9.5890410958904049</v>
      </c>
      <c r="J17">
        <v>4.8780487804878092</v>
      </c>
    </row>
    <row r="18" spans="1:10" x14ac:dyDescent="0.3">
      <c r="A18">
        <v>2022</v>
      </c>
      <c r="B18" t="s">
        <v>38</v>
      </c>
      <c r="C18">
        <v>110</v>
      </c>
      <c r="D18">
        <v>9.1</v>
      </c>
      <c r="E18">
        <v>8.4</v>
      </c>
      <c r="F18">
        <v>8.8000000000000007</v>
      </c>
      <c r="G18">
        <v>4.7619047619047672</v>
      </c>
      <c r="H18">
        <v>3.409090909090895</v>
      </c>
      <c r="I18">
        <v>5.0000000000000044</v>
      </c>
      <c r="J18">
        <v>2.3255813953488409</v>
      </c>
    </row>
    <row r="19" spans="1:10" x14ac:dyDescent="0.3">
      <c r="A19">
        <v>2022</v>
      </c>
      <c r="B19" t="s">
        <v>106</v>
      </c>
      <c r="C19">
        <v>115</v>
      </c>
      <c r="D19">
        <v>9.3000000000000007</v>
      </c>
      <c r="E19">
        <v>8.6999999999999993</v>
      </c>
      <c r="F19">
        <v>8.6999999999999993</v>
      </c>
      <c r="G19">
        <v>4.5454545454545414</v>
      </c>
      <c r="H19">
        <v>2.1978021978022122</v>
      </c>
      <c r="I19">
        <v>3.5714285714285592</v>
      </c>
      <c r="J19">
        <v>-1.136363636363658</v>
      </c>
    </row>
    <row r="20" spans="1:10" x14ac:dyDescent="0.3">
      <c r="A20">
        <v>2022</v>
      </c>
      <c r="B20" t="s">
        <v>107</v>
      </c>
      <c r="C20">
        <v>108</v>
      </c>
      <c r="D20">
        <v>8.9</v>
      </c>
      <c r="E20">
        <v>8.1</v>
      </c>
      <c r="F20">
        <v>8.4</v>
      </c>
      <c r="G20">
        <v>-6.086956521739129</v>
      </c>
      <c r="H20">
        <v>-4.3010752688172111</v>
      </c>
      <c r="I20">
        <v>-6.8965517241379226</v>
      </c>
      <c r="J20">
        <v>-3.4482758620689502</v>
      </c>
    </row>
    <row r="21" spans="1:10" x14ac:dyDescent="0.3">
      <c r="A21">
        <v>2022</v>
      </c>
      <c r="B21" t="s">
        <v>108</v>
      </c>
      <c r="C21">
        <v>102</v>
      </c>
      <c r="D21">
        <v>8.1999999999999993</v>
      </c>
      <c r="E21">
        <v>7.5</v>
      </c>
      <c r="F21">
        <v>8.1</v>
      </c>
      <c r="G21">
        <v>-5.555555555555558</v>
      </c>
      <c r="H21">
        <v>-7.8651685393258504</v>
      </c>
      <c r="I21">
        <v>-7.4074074074074074</v>
      </c>
      <c r="J21">
        <v>-3.5714285714285809</v>
      </c>
    </row>
    <row r="22" spans="1:10" x14ac:dyDescent="0.3">
      <c r="A22">
        <v>2022</v>
      </c>
      <c r="B22" t="s">
        <v>109</v>
      </c>
      <c r="C22">
        <v>96</v>
      </c>
      <c r="D22">
        <v>7.7</v>
      </c>
      <c r="E22">
        <v>7</v>
      </c>
      <c r="F22">
        <v>7.9</v>
      </c>
      <c r="G22">
        <v>-5.8823529411764719</v>
      </c>
      <c r="H22">
        <v>-6.0975609756097509</v>
      </c>
      <c r="I22">
        <v>-6.6666666666666652</v>
      </c>
      <c r="J22">
        <v>-2.469135802469125</v>
      </c>
    </row>
    <row r="23" spans="1:10" x14ac:dyDescent="0.3">
      <c r="A23">
        <v>2022</v>
      </c>
      <c r="B23" t="s">
        <v>110</v>
      </c>
      <c r="C23">
        <v>88</v>
      </c>
      <c r="D23">
        <v>7.1</v>
      </c>
      <c r="E23">
        <v>6.4</v>
      </c>
      <c r="F23">
        <v>7.6</v>
      </c>
      <c r="G23">
        <v>-8.3333333333333375</v>
      </c>
      <c r="H23">
        <v>-7.7922077922077948</v>
      </c>
      <c r="I23">
        <v>-8.5714285714285623</v>
      </c>
      <c r="J23">
        <v>-3.7974683544303889</v>
      </c>
    </row>
    <row r="24" spans="1:10" x14ac:dyDescent="0.3">
      <c r="A24">
        <v>2022</v>
      </c>
      <c r="B24" t="s">
        <v>111</v>
      </c>
      <c r="C24">
        <v>82</v>
      </c>
      <c r="D24">
        <v>6.8</v>
      </c>
      <c r="E24">
        <v>6.1</v>
      </c>
      <c r="F24">
        <v>7.4</v>
      </c>
      <c r="G24">
        <v>-6.8181818181818237</v>
      </c>
      <c r="H24">
        <v>-4.2253521126760507</v>
      </c>
      <c r="I24">
        <v>-4.6875000000000107</v>
      </c>
      <c r="J24">
        <v>-2.631578947368407</v>
      </c>
    </row>
    <row r="25" spans="1:10" x14ac:dyDescent="0.3">
      <c r="A25">
        <v>2022</v>
      </c>
      <c r="B25" t="s">
        <v>112</v>
      </c>
      <c r="C25">
        <v>80</v>
      </c>
      <c r="D25">
        <v>6.6</v>
      </c>
      <c r="E25">
        <v>5.9</v>
      </c>
      <c r="F25">
        <v>7.3</v>
      </c>
      <c r="G25">
        <v>-2.439024390243905</v>
      </c>
      <c r="H25">
        <v>-2.9411764705882359</v>
      </c>
      <c r="I25">
        <v>-3.278688524590156</v>
      </c>
      <c r="J25">
        <v>-1.35135135135136</v>
      </c>
    </row>
    <row r="26" spans="1:10" x14ac:dyDescent="0.3">
      <c r="A26">
        <v>2023</v>
      </c>
      <c r="B26" t="s">
        <v>102</v>
      </c>
      <c r="C26">
        <v>82</v>
      </c>
      <c r="D26">
        <v>6.7</v>
      </c>
      <c r="E26">
        <v>6</v>
      </c>
      <c r="F26">
        <v>7.4</v>
      </c>
      <c r="G26">
        <v>2.4999999999999911</v>
      </c>
      <c r="H26">
        <v>1.515151515151514</v>
      </c>
      <c r="I26">
        <v>1.6949152542372841</v>
      </c>
      <c r="J26">
        <v>1.3698630136986361</v>
      </c>
    </row>
    <row r="27" spans="1:10" x14ac:dyDescent="0.3">
      <c r="A27">
        <v>2023</v>
      </c>
      <c r="B27" t="s">
        <v>103</v>
      </c>
      <c r="C27">
        <v>85</v>
      </c>
      <c r="D27">
        <v>6.9</v>
      </c>
      <c r="E27">
        <v>6.3</v>
      </c>
      <c r="F27">
        <v>7.5</v>
      </c>
      <c r="G27">
        <v>3.6585365853658569</v>
      </c>
      <c r="H27">
        <v>2.9850746268656798</v>
      </c>
      <c r="I27">
        <v>5.0000000000000044</v>
      </c>
      <c r="J27">
        <v>1.351351351351338</v>
      </c>
    </row>
    <row r="28" spans="1:10" x14ac:dyDescent="0.3">
      <c r="A28">
        <v>2023</v>
      </c>
      <c r="B28" t="s">
        <v>104</v>
      </c>
      <c r="C28">
        <v>83</v>
      </c>
      <c r="D28">
        <v>6.8</v>
      </c>
      <c r="E28">
        <v>6.1</v>
      </c>
      <c r="F28">
        <v>7.3</v>
      </c>
      <c r="G28">
        <v>-2.352941176470591</v>
      </c>
      <c r="H28">
        <v>-1.449275362318847</v>
      </c>
      <c r="I28">
        <v>-3.174603174603174</v>
      </c>
      <c r="J28">
        <v>-2.6666666666666732</v>
      </c>
    </row>
    <row r="29" spans="1:10" x14ac:dyDescent="0.3">
      <c r="A29">
        <v>2023</v>
      </c>
      <c r="B29" t="s">
        <v>105</v>
      </c>
      <c r="C29">
        <v>87</v>
      </c>
      <c r="D29">
        <v>7</v>
      </c>
      <c r="E29">
        <v>6.4</v>
      </c>
      <c r="F29">
        <v>7.6</v>
      </c>
      <c r="G29">
        <v>4.8192771084337283</v>
      </c>
      <c r="H29">
        <v>2.941176470588247</v>
      </c>
      <c r="I29">
        <v>4.9180327868852514</v>
      </c>
      <c r="J29">
        <v>4.1095890410958846</v>
      </c>
    </row>
    <row r="31" spans="1:10" x14ac:dyDescent="0.3">
      <c r="A31" t="s">
        <v>101</v>
      </c>
      <c r="B31" t="s">
        <v>119</v>
      </c>
      <c r="D31" t="s">
        <v>120</v>
      </c>
    </row>
    <row r="32" spans="1:10" hidden="1" x14ac:dyDescent="0.3">
      <c r="A32" t="s">
        <v>113</v>
      </c>
    </row>
    <row r="33" spans="1:5" x14ac:dyDescent="0.3">
      <c r="A33" t="s">
        <v>94</v>
      </c>
      <c r="B33">
        <f>CORREL(G3:G29,H3:H29)</f>
        <v>0.92974830464166747</v>
      </c>
    </row>
    <row r="34" spans="1:5" x14ac:dyDescent="0.3">
      <c r="A34" t="s">
        <v>95</v>
      </c>
      <c r="B34">
        <f>CORREL(G3:G29,I3:I29)</f>
        <v>0.89219488919367773</v>
      </c>
    </row>
    <row r="35" spans="1:5" x14ac:dyDescent="0.3">
      <c r="A35" t="s">
        <v>96</v>
      </c>
      <c r="B35">
        <f>CORREL(G3:G29,J3:J29)</f>
        <v>0.85137280313052199</v>
      </c>
    </row>
    <row r="37" spans="1:5" x14ac:dyDescent="0.3">
      <c r="A37" s="1" t="s">
        <v>50</v>
      </c>
      <c r="B37" t="s">
        <v>115</v>
      </c>
      <c r="C37" t="s">
        <v>116</v>
      </c>
      <c r="D37" t="s">
        <v>117</v>
      </c>
      <c r="E37" t="s">
        <v>114</v>
      </c>
    </row>
    <row r="38" spans="1:5" x14ac:dyDescent="0.3">
      <c r="A38" s="2">
        <v>2021</v>
      </c>
      <c r="B38" s="26">
        <v>5.5666666666666673</v>
      </c>
      <c r="C38" s="26">
        <v>4.6833333333333336</v>
      </c>
      <c r="D38" s="26">
        <v>6.3750000000000009</v>
      </c>
      <c r="E38" s="26">
        <v>68.5</v>
      </c>
    </row>
    <row r="39" spans="1:5" x14ac:dyDescent="0.3">
      <c r="A39" s="2">
        <v>2022</v>
      </c>
      <c r="B39" s="26">
        <v>7.9166666666666652</v>
      </c>
      <c r="C39" s="26">
        <v>7.1916666666666673</v>
      </c>
      <c r="D39" s="26">
        <v>8.0250000000000004</v>
      </c>
      <c r="E39" s="26">
        <v>95.25</v>
      </c>
    </row>
    <row r="40" spans="1:5" x14ac:dyDescent="0.3">
      <c r="A40" s="2">
        <v>2023</v>
      </c>
      <c r="B40" s="26">
        <v>6.8500000000000005</v>
      </c>
      <c r="C40" s="26">
        <v>6.1999999999999993</v>
      </c>
      <c r="D40" s="26">
        <v>7.4499999999999993</v>
      </c>
      <c r="E40" s="26">
        <v>84.25</v>
      </c>
    </row>
    <row r="41" spans="1:5" x14ac:dyDescent="0.3">
      <c r="A41" s="2" t="s">
        <v>51</v>
      </c>
      <c r="B41" s="26">
        <v>6.7571428571428571</v>
      </c>
      <c r="C41" s="26">
        <v>5.9750000000000005</v>
      </c>
      <c r="D41" s="26">
        <v>7.2357142857142867</v>
      </c>
      <c r="E41" s="26">
        <v>82.214285714285708</v>
      </c>
    </row>
    <row r="65" spans="1:1" x14ac:dyDescent="0.3">
      <c r="A65" t="s">
        <v>118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74579E-AC97-497D-A579-87ACD1ECCC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 and Objective </vt:lpstr>
      <vt:lpstr>CPI calculation</vt:lpstr>
      <vt:lpstr>Years of highest inflation </vt:lpstr>
      <vt:lpstr>Food Inflation</vt:lpstr>
      <vt:lpstr>Pandemic affect</vt:lpstr>
      <vt:lpstr>Oil Inflation Anallysis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Sandhya sati</cp:lastModifiedBy>
  <dcterms:created xsi:type="dcterms:W3CDTF">2025-09-01T07:24:56Z</dcterms:created>
  <dcterms:modified xsi:type="dcterms:W3CDTF">2025-10-30T08:56:16Z</dcterms:modified>
</cp:coreProperties>
</file>